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5E3959D1-E1AC-44F6-BC0C-8FE25EBB7EF5}" xr6:coauthVersionLast="47" xr6:coauthVersionMax="47" xr10:uidLastSave="{00000000-0000-0000-0000-000000000000}"/>
  <bookViews>
    <workbookView xWindow="-120" yWindow="-120" windowWidth="20730" windowHeight="11040" activeTab="2" xr2:uid="{C662DE6F-1635-47E9-B13F-4C8201D75EDB}"/>
  </bookViews>
  <sheets>
    <sheet name="Raw_Data" sheetId="1" r:id="rId1"/>
    <sheet name="Pivot_Table" sheetId="2" r:id="rId2"/>
    <sheet name="Dashboard" sheetId="3" r:id="rId3"/>
  </sheets>
  <definedNames>
    <definedName name="Slicer_Location">#N/A</definedName>
    <definedName name="Slicer_Property_Category">#N/A</definedName>
    <definedName name="Slicer_Title_Risk_Level">#N/A</definedName>
  </definedNames>
  <calcPr calcId="191029"/>
  <pivotCaches>
    <pivotCache cacheId="25" r:id="rId4"/>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 i="3" l="1"/>
  <c r="F5" i="3"/>
  <c r="E5" i="3"/>
  <c r="D5" i="3"/>
  <c r="C5" i="3"/>
  <c r="B5" i="3"/>
</calcChain>
</file>

<file path=xl/sharedStrings.xml><?xml version="1.0" encoding="utf-8"?>
<sst xmlns="http://schemas.openxmlformats.org/spreadsheetml/2006/main" count="598" uniqueCount="180">
  <si>
    <t>Property_ID</t>
  </si>
  <si>
    <t>Estate_Name</t>
  </si>
  <si>
    <t>Location</t>
  </si>
  <si>
    <t>Location_Hub</t>
  </si>
  <si>
    <t>Property_Type</t>
  </si>
  <si>
    <t>Property_Category</t>
  </si>
  <si>
    <t>Plot_Size_Sqm</t>
  </si>
  <si>
    <t>Price_Per_Sqm_Naira</t>
  </si>
  <si>
    <t>Price</t>
  </si>
  <si>
    <t>Title</t>
  </si>
  <si>
    <t>Title_Risk_Level</t>
  </si>
  <si>
    <t>MARKET_SEGMENT</t>
  </si>
  <si>
    <t>OG01</t>
  </si>
  <si>
    <t>Mowe Gulf</t>
  </si>
  <si>
    <t>Mowe</t>
  </si>
  <si>
    <t>Mowe-Ofada</t>
  </si>
  <si>
    <t>Land</t>
  </si>
  <si>
    <t>C of O</t>
  </si>
  <si>
    <t>Low</t>
  </si>
  <si>
    <t>PREMIUM</t>
  </si>
  <si>
    <t>OG02</t>
  </si>
  <si>
    <t>Native Pride Estate</t>
  </si>
  <si>
    <t>Somenke</t>
  </si>
  <si>
    <t>Unspecified</t>
  </si>
  <si>
    <t>High</t>
  </si>
  <si>
    <t>AFFORDABLE</t>
  </si>
  <si>
    <t>OG03</t>
  </si>
  <si>
    <t>Queens Park Estate</t>
  </si>
  <si>
    <t>Registered Survey</t>
  </si>
  <si>
    <t>Medium</t>
  </si>
  <si>
    <t>OG04</t>
  </si>
  <si>
    <t>Oakville Green Estate</t>
  </si>
  <si>
    <t>OG05</t>
  </si>
  <si>
    <t>OG06</t>
  </si>
  <si>
    <t>Open Land</t>
  </si>
  <si>
    <t>Asese</t>
  </si>
  <si>
    <t>Registered Deed, Family Receipt</t>
  </si>
  <si>
    <t>OG07</t>
  </si>
  <si>
    <t>Berlin Estate</t>
  </si>
  <si>
    <t>OG08</t>
  </si>
  <si>
    <t>Emerald Garden City</t>
  </si>
  <si>
    <t>Shimawa</t>
  </si>
  <si>
    <t>OG09</t>
  </si>
  <si>
    <t>Survey</t>
  </si>
  <si>
    <t>OG10</t>
  </si>
  <si>
    <t>Iyana Iyesi</t>
  </si>
  <si>
    <t>Sango Ota</t>
  </si>
  <si>
    <t>Ota</t>
  </si>
  <si>
    <t>C of O, Registered Survey</t>
  </si>
  <si>
    <t>OG11</t>
  </si>
  <si>
    <t>Grandview Park &amp; Gardens Phase 1</t>
  </si>
  <si>
    <t>Atan</t>
  </si>
  <si>
    <t>Atan-Ota</t>
  </si>
  <si>
    <t>OG12</t>
  </si>
  <si>
    <t>GrandView Park and Gardens Estate</t>
  </si>
  <si>
    <t>OG13</t>
  </si>
  <si>
    <t>Zenith Garden</t>
  </si>
  <si>
    <t>Magboro</t>
  </si>
  <si>
    <t>OG14</t>
  </si>
  <si>
    <t>Residential Land</t>
  </si>
  <si>
    <t>OG15</t>
  </si>
  <si>
    <t>OG16</t>
  </si>
  <si>
    <t>Igbafo</t>
  </si>
  <si>
    <t>Family Receipt, Deed of Assignment</t>
  </si>
  <si>
    <t>OG17</t>
  </si>
  <si>
    <t>Ofada Aprk Estate</t>
  </si>
  <si>
    <t>Ofada</t>
  </si>
  <si>
    <t>OG18</t>
  </si>
  <si>
    <t>OG19</t>
  </si>
  <si>
    <t>Kingsway estate</t>
  </si>
  <si>
    <t>Ala-Ijebu</t>
  </si>
  <si>
    <t>OG20</t>
  </si>
  <si>
    <t>Kingsway Estate</t>
  </si>
  <si>
    <t>OG21</t>
  </si>
  <si>
    <t>Quenns Homes Elizabeth Court</t>
  </si>
  <si>
    <t>3 Bedroom Apartment</t>
  </si>
  <si>
    <t>Residential</t>
  </si>
  <si>
    <t>Not Classified</t>
  </si>
  <si>
    <t>OG22</t>
  </si>
  <si>
    <t>Quenns Homes Diana Court</t>
  </si>
  <si>
    <t>2 Bedroom Apartment</t>
  </si>
  <si>
    <t>OG23</t>
  </si>
  <si>
    <t>6-Unit Apartment Building</t>
  </si>
  <si>
    <t>Obafemi-Owode</t>
  </si>
  <si>
    <t>3 Bedroom Apartment (6 Units)</t>
  </si>
  <si>
    <t>Receipt, survey, Deed of Assignment</t>
  </si>
  <si>
    <t>OG24</t>
  </si>
  <si>
    <t>Pearl Crest Estate</t>
  </si>
  <si>
    <t>Owode</t>
  </si>
  <si>
    <t>Registered survey</t>
  </si>
  <si>
    <t>OG25</t>
  </si>
  <si>
    <t>Detached Duplex</t>
  </si>
  <si>
    <t>Arepo</t>
  </si>
  <si>
    <t>Berger–Arepo</t>
  </si>
  <si>
    <t>5 Bedroom Apartment with 1 BQ</t>
  </si>
  <si>
    <t>OG26</t>
  </si>
  <si>
    <t>Unity Estate</t>
  </si>
  <si>
    <t>3 Bedroom Apartment (5 Units)</t>
  </si>
  <si>
    <t>OG27</t>
  </si>
  <si>
    <t>Citi View Estate</t>
  </si>
  <si>
    <t>4 Bedroom Semi Detached</t>
  </si>
  <si>
    <t>OG28</t>
  </si>
  <si>
    <t>Queens Land Estate</t>
  </si>
  <si>
    <t>Agbara</t>
  </si>
  <si>
    <t>3 Bedroom Detached Bungalow</t>
  </si>
  <si>
    <t>OG29</t>
  </si>
  <si>
    <t>A Unit of Bungalow</t>
  </si>
  <si>
    <t>Aiyetoro</t>
  </si>
  <si>
    <t>Itele-Ota</t>
  </si>
  <si>
    <t>3 Bedroom Bungalow</t>
  </si>
  <si>
    <t>OG30</t>
  </si>
  <si>
    <t>OG31</t>
  </si>
  <si>
    <t>OG32</t>
  </si>
  <si>
    <t>OG33</t>
  </si>
  <si>
    <t>OG34</t>
  </si>
  <si>
    <t>Bluestone Estate</t>
  </si>
  <si>
    <t>3 Bedroom Apartment with BQ</t>
  </si>
  <si>
    <t>OG35</t>
  </si>
  <si>
    <t>Twin Storey Building</t>
  </si>
  <si>
    <t>3 Bedroom units, 2 Bedroom Apartment (4 Units)</t>
  </si>
  <si>
    <t>Deed of Assignments, Survey, Payment Recipts</t>
  </si>
  <si>
    <t>OG36</t>
  </si>
  <si>
    <t>Institutional Property</t>
  </si>
  <si>
    <t>Plaza/Commercial Complex</t>
  </si>
  <si>
    <t>Commercial</t>
  </si>
  <si>
    <t>OG37</t>
  </si>
  <si>
    <t>Big Shopping Complex</t>
  </si>
  <si>
    <t>Akute</t>
  </si>
  <si>
    <t>Ifo</t>
  </si>
  <si>
    <t>Reciept, Survey, Deed of Asssignment</t>
  </si>
  <si>
    <t>OG38</t>
  </si>
  <si>
    <t>Lounge ,Bar and Apartment</t>
  </si>
  <si>
    <t>Magada</t>
  </si>
  <si>
    <t>Ibafo</t>
  </si>
  <si>
    <t>2 Bedroom Apartment (3 units),1 Mini Flat</t>
  </si>
  <si>
    <t>OG39</t>
  </si>
  <si>
    <t>Agbara Estate</t>
  </si>
  <si>
    <t>Ado-Odo/Ota</t>
  </si>
  <si>
    <t>OG40</t>
  </si>
  <si>
    <t>Detached Bungalows</t>
  </si>
  <si>
    <t>Magodo</t>
  </si>
  <si>
    <t>4 Bedroom Apartment</t>
  </si>
  <si>
    <t>OG41</t>
  </si>
  <si>
    <t>OG42</t>
  </si>
  <si>
    <t>Spark Light</t>
  </si>
  <si>
    <t>3 Bedroom Apartment, 2 Bedroom Apartment with BQ</t>
  </si>
  <si>
    <t>OG43</t>
  </si>
  <si>
    <t>Journalist Estate</t>
  </si>
  <si>
    <t>4 Bedroom Duplex</t>
  </si>
  <si>
    <t>OG44</t>
  </si>
  <si>
    <t>3 Bedroom Duplex, Lounge with BQ</t>
  </si>
  <si>
    <t>Reciept, Survey, Allocation letter</t>
  </si>
  <si>
    <t>OG45</t>
  </si>
  <si>
    <t>Forthnight Garden Estate</t>
  </si>
  <si>
    <t>5 Bedroom Detached House (All Rooms Ensuite)</t>
  </si>
  <si>
    <t>OG46</t>
  </si>
  <si>
    <t>4 Bedroom Semi-Detached</t>
  </si>
  <si>
    <t>OG47</t>
  </si>
  <si>
    <t>T.A Gardens</t>
  </si>
  <si>
    <t>4 Bedroom Newly Built Terraced House</t>
  </si>
  <si>
    <t>OG48</t>
  </si>
  <si>
    <t>4 Bedroom Newly Built with 2 Bedroom BQ</t>
  </si>
  <si>
    <t>OG49</t>
  </si>
  <si>
    <t>Deed of Assignment, Survey, Allocation Letter</t>
  </si>
  <si>
    <t>OG50</t>
  </si>
  <si>
    <t>Grand Total</t>
  </si>
  <si>
    <t>Average of Price</t>
  </si>
  <si>
    <t>Total Property Value</t>
  </si>
  <si>
    <t>Average Property Price</t>
  </si>
  <si>
    <t>Average Price Per Sqm</t>
  </si>
  <si>
    <t>Number of Properties</t>
  </si>
  <si>
    <t>Total_Property</t>
  </si>
  <si>
    <t>Number of properties</t>
  </si>
  <si>
    <t>Title Risk Level</t>
  </si>
  <si>
    <t xml:space="preserve">           OBA HOMES – Ogun State Property Investment Dashboard</t>
  </si>
  <si>
    <t>Interactive Dashboard | OBA HOMES | Ogun State Property Analysis</t>
  </si>
  <si>
    <t>Total Properties</t>
  </si>
  <si>
    <t>Average Price/Sqm</t>
  </si>
  <si>
    <t>Premium Listings</t>
  </si>
  <si>
    <t>Affordable Listings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</si>
</sst>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0"/>
  </numFmts>
  <fonts count="15" x14ac:knownFonts="1">
    <font>
      <sz val="11"/>
      <color theme="1"/>
      <name val="Calibri"/>
      <family val="2"/>
      <scheme val="minor"/>
    </font>
    <font>
      <b/>
      <sz val="10"/>
      <color rgb="FFFFFFFF"/>
      <name val="Arial"/>
      <family val="2"/>
    </font>
    <font>
      <sz val="10"/>
      <color theme="1"/>
      <name val="Arial"/>
      <family val="2"/>
    </font>
    <font>
      <sz val="11"/>
      <color rgb="FF1A2258"/>
      <name val="Arial"/>
      <family val="2"/>
    </font>
    <font>
      <sz val="12"/>
      <color rgb="FF1A2258"/>
      <name val="Avenir Next LT Pro"/>
    </font>
    <font>
      <sz val="12"/>
      <color rgb="FF1A2258"/>
      <name val="Arial"/>
      <family val="2"/>
    </font>
    <font>
      <sz val="11"/>
      <color rgb="FF1A2258"/>
      <name val="Avenir Next LT Pro"/>
    </font>
    <font>
      <sz val="11"/>
      <color theme="1"/>
      <name val="Open Sans"/>
      <family val="2"/>
    </font>
    <font>
      <sz val="10"/>
      <color rgb="FF1F1F1F"/>
      <name val="Arial"/>
      <family val="2"/>
    </font>
    <font>
      <sz val="16"/>
      <color theme="1"/>
      <name val="Calibri"/>
      <family val="2"/>
      <scheme val="minor"/>
    </font>
    <font>
      <sz val="22"/>
      <color theme="1"/>
      <name val="Calibri"/>
      <family val="2"/>
      <scheme val="minor"/>
    </font>
    <font>
      <sz val="20"/>
      <color theme="9" tint="-0.249977111117893"/>
      <name val="Calibri"/>
      <family val="2"/>
      <scheme val="minor"/>
    </font>
    <font>
      <sz val="11"/>
      <color theme="9" tint="-0.249977111117893"/>
      <name val="Calibri"/>
      <family val="2"/>
      <scheme val="minor"/>
    </font>
    <font>
      <sz val="16"/>
      <color theme="9" tint="-0.249977111117893"/>
      <name val="Calibri"/>
      <family val="2"/>
      <scheme val="minor"/>
    </font>
    <font>
      <b/>
      <sz val="11"/>
      <color theme="9" tint="-0.249977111117893"/>
      <name val="Calibri"/>
      <family val="2"/>
      <scheme val="minor"/>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theme="0"/>
        <bgColor indexed="64"/>
      </patternFill>
    </fill>
  </fills>
  <borders count="6">
    <border>
      <left/>
      <right/>
      <top/>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0" borderId="4" xfId="0" applyFont="1" applyBorder="1" applyAlignment="1">
      <alignment wrapText="1"/>
    </xf>
    <xf numFmtId="0" fontId="2" fillId="0" borderId="4" xfId="0" applyFont="1" applyBorder="1" applyAlignment="1">
      <alignment horizontal="right" wrapText="1"/>
    </xf>
    <xf numFmtId="3" fontId="2" fillId="0" borderId="4" xfId="0" applyNumberFormat="1" applyFont="1" applyBorder="1" applyAlignment="1">
      <alignment horizontal="right" wrapText="1"/>
    </xf>
    <xf numFmtId="0" fontId="3" fillId="3" borderId="4" xfId="0" applyFont="1" applyFill="1" applyBorder="1" applyAlignment="1">
      <alignment wrapText="1"/>
    </xf>
    <xf numFmtId="0" fontId="2" fillId="3" borderId="4" xfId="0" applyFont="1" applyFill="1" applyBorder="1" applyAlignment="1">
      <alignment wrapText="1"/>
    </xf>
    <xf numFmtId="0" fontId="4" fillId="3" borderId="4" xfId="0" applyFont="1" applyFill="1" applyBorder="1" applyAlignment="1">
      <alignment wrapText="1"/>
    </xf>
    <xf numFmtId="0" fontId="5" fillId="3" borderId="4" xfId="0" applyFont="1" applyFill="1" applyBorder="1" applyAlignment="1">
      <alignment wrapText="1"/>
    </xf>
    <xf numFmtId="0" fontId="6" fillId="3" borderId="4" xfId="0" applyFont="1" applyFill="1" applyBorder="1" applyAlignment="1">
      <alignment wrapText="1"/>
    </xf>
    <xf numFmtId="0" fontId="7" fillId="3" borderId="4" xfId="0" applyFont="1" applyFill="1" applyBorder="1" applyAlignment="1">
      <alignment wrapText="1"/>
    </xf>
    <xf numFmtId="3" fontId="8" fillId="0" borderId="4" xfId="0" applyNumberFormat="1"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9" fillId="0" borderId="0" xfId="0" applyFont="1"/>
    <xf numFmtId="0" fontId="10" fillId="0" borderId="5" xfId="0" applyFont="1" applyBorder="1"/>
    <xf numFmtId="169" fontId="10" fillId="0" borderId="5" xfId="0" applyNumberFormat="1" applyFont="1" applyBorder="1"/>
    <xf numFmtId="0" fontId="11" fillId="4" borderId="0" xfId="0" applyFont="1" applyFill="1"/>
    <xf numFmtId="0" fontId="12" fillId="4" borderId="0" xfId="0" applyFont="1" applyFill="1"/>
    <xf numFmtId="0" fontId="12" fillId="0" borderId="0" xfId="0" applyFont="1"/>
    <xf numFmtId="0" fontId="13" fillId="4" borderId="0" xfId="0" applyFont="1" applyFill="1"/>
    <xf numFmtId="0" fontId="13" fillId="0" borderId="0" xfId="0" applyFont="1"/>
    <xf numFmtId="0" fontId="14"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[ogun property investment dashboard.xlsx]Pivot_Table!PivotTable10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Pivot_Table!$K$2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33-4231-B46D-BE7F1839E9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33-4231-B46D-BE7F1839E9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33-4231-B46D-BE7F1839E92C}"/>
              </c:ext>
            </c:extLst>
          </c:dPt>
          <c:cat>
            <c:strRef>
              <c:f>Pivot_Table!$J$3:$J$6</c:f>
              <c:strCache>
                <c:ptCount val="3"/>
                <c:pt idx="0">
                  <c:v>AFFORDABLE</c:v>
                </c:pt>
                <c:pt idx="1">
                  <c:v>Not Classified</c:v>
                </c:pt>
                <c:pt idx="2">
                  <c:v>PREMIUM</c:v>
                </c:pt>
              </c:strCache>
            </c:strRef>
          </c:cat>
          <c:val>
            <c:numRef>
              <c:f>Pivot_Table!$K$3:$K$6</c:f>
              <c:numCache>
                <c:formatCode>General</c:formatCode>
                <c:ptCount val="3"/>
                <c:pt idx="0">
                  <c:v>17</c:v>
                </c:pt>
                <c:pt idx="1">
                  <c:v>15</c:v>
                </c:pt>
                <c:pt idx="2">
                  <c:v>18</c:v>
                </c:pt>
              </c:numCache>
            </c:numRef>
          </c:val>
          <c:extLst>
            <c:ext xmlns:c16="http://schemas.microsoft.com/office/drawing/2014/chart" uri="{C3380CC4-5D6E-409C-BE32-E72D297353CC}">
              <c16:uniqueId val="{00000006-2C33-4231-B46D-BE7F1839E9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[ogun property investment dashboard.xlsx]Pivot_Table!PivotTable11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Title Risk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rgbClr val="FFFF00"/>
          </a:solidFill>
          <a:ln>
            <a:noFill/>
          </a:ln>
          <a:effectLst/>
        </c:spPr>
      </c:pivotFmt>
    </c:pivotFmts>
    <c:plotArea>
      <c:layout/>
      <c:barChart>
        <c:barDir val="col"/>
        <c:grouping val="clustered"/>
        <c:varyColors val="0"/>
        <c:ser>
          <c:idx val="0"/>
          <c:order val="0"/>
          <c:tx>
            <c:strRef>
              <c:f>Pivot_Table!$K$8</c:f>
              <c:strCache>
                <c:ptCount val="1"/>
                <c:pt idx="0">
                  <c:v>Total</c:v>
                </c:pt>
              </c:strCache>
            </c:strRef>
          </c:tx>
          <c:spPr>
            <a:solidFill>
              <a:srgbClr val="FF0000"/>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543A-4CEE-A853-248FE16381C2}"/>
              </c:ext>
            </c:extLst>
          </c:dPt>
          <c:dPt>
            <c:idx val="2"/>
            <c:invertIfNegative val="0"/>
            <c:bubble3D val="0"/>
            <c:spPr>
              <a:solidFill>
                <a:srgbClr val="FFFF00"/>
              </a:solidFill>
              <a:ln>
                <a:noFill/>
              </a:ln>
              <a:effectLst/>
            </c:spPr>
            <c:extLst>
              <c:ext xmlns:c16="http://schemas.microsoft.com/office/drawing/2014/chart" uri="{C3380CC4-5D6E-409C-BE32-E72D297353CC}">
                <c16:uniqueId val="{00000003-543A-4CEE-A853-248FE16381C2}"/>
              </c:ext>
            </c:extLst>
          </c:dPt>
          <c:cat>
            <c:strRef>
              <c:f>Pivot_Table!$J$9:$J$12</c:f>
              <c:strCache>
                <c:ptCount val="3"/>
                <c:pt idx="0">
                  <c:v>High</c:v>
                </c:pt>
                <c:pt idx="1">
                  <c:v>Low</c:v>
                </c:pt>
                <c:pt idx="2">
                  <c:v>Medium</c:v>
                </c:pt>
              </c:strCache>
            </c:strRef>
          </c:cat>
          <c:val>
            <c:numRef>
              <c:f>Pivot_Table!$K$9:$K$12</c:f>
              <c:numCache>
                <c:formatCode>General</c:formatCode>
                <c:ptCount val="3"/>
                <c:pt idx="0">
                  <c:v>11</c:v>
                </c:pt>
                <c:pt idx="1">
                  <c:v>29</c:v>
                </c:pt>
                <c:pt idx="2">
                  <c:v>10</c:v>
                </c:pt>
              </c:numCache>
            </c:numRef>
          </c:val>
          <c:extLst>
            <c:ext xmlns:c16="http://schemas.microsoft.com/office/drawing/2014/chart" uri="{C3380CC4-5D6E-409C-BE32-E72D297353CC}">
              <c16:uniqueId val="{00000000-543A-4CEE-A853-248FE16381C2}"/>
            </c:ext>
          </c:extLst>
        </c:ser>
        <c:dLbls>
          <c:showLegendKey val="0"/>
          <c:showVal val="0"/>
          <c:showCatName val="0"/>
          <c:showSerName val="0"/>
          <c:showPercent val="0"/>
          <c:showBubbleSize val="0"/>
        </c:dLbls>
        <c:gapWidth val="219"/>
        <c:overlap val="-27"/>
        <c:axId val="321793168"/>
        <c:axId val="321795248"/>
      </c:barChart>
      <c:catAx>
        <c:axId val="32179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1795248"/>
        <c:crosses val="autoZero"/>
        <c:auto val="1"/>
        <c:lblAlgn val="ctr"/>
        <c:lblOffset val="100"/>
        <c:noMultiLvlLbl val="0"/>
      </c:catAx>
      <c:valAx>
        <c:axId val="32179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217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[ogun property investment dashboard.xlsx]Pivot_Table!PivotTable12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Segment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doughnutChart>
        <c:varyColors val="1"/>
        <c:ser>
          <c:idx val="0"/>
          <c:order val="0"/>
          <c:tx>
            <c:strRef>
              <c:f>Pivot_Table!$K$14</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8E37-4E7E-A56E-521997154892}"/>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8E37-4E7E-A56E-521997154892}"/>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E37-4E7E-A56E-521997154892}"/>
              </c:ext>
            </c:extLst>
          </c:dPt>
          <c:cat>
            <c:strRef>
              <c:f>Pivot_Table!$J$15:$J$18</c:f>
              <c:strCache>
                <c:ptCount val="3"/>
                <c:pt idx="0">
                  <c:v>Commercial</c:v>
                </c:pt>
                <c:pt idx="1">
                  <c:v>Land</c:v>
                </c:pt>
                <c:pt idx="2">
                  <c:v>Residential</c:v>
                </c:pt>
              </c:strCache>
            </c:strRef>
          </c:cat>
          <c:val>
            <c:numRef>
              <c:f>Pivot_Table!$K$15:$K$18</c:f>
              <c:numCache>
                <c:formatCode>General</c:formatCode>
                <c:ptCount val="3"/>
                <c:pt idx="0">
                  <c:v>3</c:v>
                </c:pt>
                <c:pt idx="1">
                  <c:v>28</c:v>
                </c:pt>
                <c:pt idx="2">
                  <c:v>19</c:v>
                </c:pt>
              </c:numCache>
            </c:numRef>
          </c:val>
          <c:extLst>
            <c:ext xmlns:c16="http://schemas.microsoft.com/office/drawing/2014/chart" uri="{C3380CC4-5D6E-409C-BE32-E72D297353CC}">
              <c16:uniqueId val="{00000006-8E37-4E7E-A56E-5219971548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[ogun property investment dashboard.xlsx]Pivot_Table!PivotTable14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Title Risk Distribution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Pivot_Table!$Q$2:$Q$3</c:f>
              <c:strCache>
                <c:ptCount val="1"/>
                <c:pt idx="0">
                  <c:v>High</c:v>
                </c:pt>
              </c:strCache>
            </c:strRef>
          </c:tx>
          <c:spPr>
            <a:solidFill>
              <a:srgbClr val="FF0000"/>
            </a:solidFill>
            <a:ln>
              <a:noFill/>
            </a:ln>
            <a:effectLst/>
          </c:spPr>
          <c:invertIfNegative val="0"/>
          <c:cat>
            <c:strRef>
              <c:f>Pivot_Table!$P$4:$P$19</c:f>
              <c:strCache>
                <c:ptCount val="16"/>
                <c:pt idx="0">
                  <c:v>Agbara</c:v>
                </c:pt>
                <c:pt idx="1">
                  <c:v>Mowe</c:v>
                </c:pt>
                <c:pt idx="2">
                  <c:v>Arepo</c:v>
                </c:pt>
                <c:pt idx="3">
                  <c:v>Ofada</c:v>
                </c:pt>
                <c:pt idx="4">
                  <c:v>Ala-Ijebu</c:v>
                </c:pt>
                <c:pt idx="5">
                  <c:v>Magboro</c:v>
                </c:pt>
                <c:pt idx="6">
                  <c:v>Owode</c:v>
                </c:pt>
                <c:pt idx="7">
                  <c:v>Magodo</c:v>
                </c:pt>
                <c:pt idx="8">
                  <c:v>Sango Ota</c:v>
                </c:pt>
                <c:pt idx="9">
                  <c:v>Atan</c:v>
                </c:pt>
                <c:pt idx="10">
                  <c:v>Shimawa</c:v>
                </c:pt>
                <c:pt idx="11">
                  <c:v>Magada</c:v>
                </c:pt>
                <c:pt idx="12">
                  <c:v>Somenke</c:v>
                </c:pt>
                <c:pt idx="13">
                  <c:v>Asese</c:v>
                </c:pt>
                <c:pt idx="14">
                  <c:v>Aiyetoro</c:v>
                </c:pt>
                <c:pt idx="15">
                  <c:v>Akute</c:v>
                </c:pt>
              </c:strCache>
            </c:strRef>
          </c:cat>
          <c:val>
            <c:numRef>
              <c:f>Pivot_Table!$Q$4:$Q$19</c:f>
              <c:numCache>
                <c:formatCode>General</c:formatCode>
                <c:ptCount val="16"/>
                <c:pt idx="1">
                  <c:v>2</c:v>
                </c:pt>
                <c:pt idx="2">
                  <c:v>3</c:v>
                </c:pt>
                <c:pt idx="7">
                  <c:v>1</c:v>
                </c:pt>
                <c:pt idx="9">
                  <c:v>1</c:v>
                </c:pt>
                <c:pt idx="10">
                  <c:v>2</c:v>
                </c:pt>
                <c:pt idx="12">
                  <c:v>1</c:v>
                </c:pt>
                <c:pt idx="13">
                  <c:v>1</c:v>
                </c:pt>
              </c:numCache>
            </c:numRef>
          </c:val>
          <c:extLst>
            <c:ext xmlns:c16="http://schemas.microsoft.com/office/drawing/2014/chart" uri="{C3380CC4-5D6E-409C-BE32-E72D297353CC}">
              <c16:uniqueId val="{00000000-DA79-4039-98E3-91900D9E31A5}"/>
            </c:ext>
          </c:extLst>
        </c:ser>
        <c:ser>
          <c:idx val="1"/>
          <c:order val="1"/>
          <c:tx>
            <c:strRef>
              <c:f>Pivot_Table!$R$2:$R$3</c:f>
              <c:strCache>
                <c:ptCount val="1"/>
                <c:pt idx="0">
                  <c:v>Low</c:v>
                </c:pt>
              </c:strCache>
            </c:strRef>
          </c:tx>
          <c:spPr>
            <a:solidFill>
              <a:srgbClr val="00B050"/>
            </a:solidFill>
            <a:ln>
              <a:noFill/>
            </a:ln>
            <a:effectLst/>
          </c:spPr>
          <c:invertIfNegative val="0"/>
          <c:cat>
            <c:strRef>
              <c:f>Pivot_Table!$P$4:$P$19</c:f>
              <c:strCache>
                <c:ptCount val="16"/>
                <c:pt idx="0">
                  <c:v>Agbara</c:v>
                </c:pt>
                <c:pt idx="1">
                  <c:v>Mowe</c:v>
                </c:pt>
                <c:pt idx="2">
                  <c:v>Arepo</c:v>
                </c:pt>
                <c:pt idx="3">
                  <c:v>Ofada</c:v>
                </c:pt>
                <c:pt idx="4">
                  <c:v>Ala-Ijebu</c:v>
                </c:pt>
                <c:pt idx="5">
                  <c:v>Magboro</c:v>
                </c:pt>
                <c:pt idx="6">
                  <c:v>Owode</c:v>
                </c:pt>
                <c:pt idx="7">
                  <c:v>Magodo</c:v>
                </c:pt>
                <c:pt idx="8">
                  <c:v>Sango Ota</c:v>
                </c:pt>
                <c:pt idx="9">
                  <c:v>Atan</c:v>
                </c:pt>
                <c:pt idx="10">
                  <c:v>Shimawa</c:v>
                </c:pt>
                <c:pt idx="11">
                  <c:v>Magada</c:v>
                </c:pt>
                <c:pt idx="12">
                  <c:v>Somenke</c:v>
                </c:pt>
                <c:pt idx="13">
                  <c:v>Asese</c:v>
                </c:pt>
                <c:pt idx="14">
                  <c:v>Aiyetoro</c:v>
                </c:pt>
                <c:pt idx="15">
                  <c:v>Akute</c:v>
                </c:pt>
              </c:strCache>
            </c:strRef>
          </c:cat>
          <c:val>
            <c:numRef>
              <c:f>Pivot_Table!$R$4:$R$19</c:f>
              <c:numCache>
                <c:formatCode>General</c:formatCode>
                <c:ptCount val="16"/>
                <c:pt idx="0">
                  <c:v>6</c:v>
                </c:pt>
                <c:pt idx="1">
                  <c:v>6</c:v>
                </c:pt>
                <c:pt idx="2">
                  <c:v>5</c:v>
                </c:pt>
                <c:pt idx="3">
                  <c:v>2</c:v>
                </c:pt>
                <c:pt idx="4">
                  <c:v>2</c:v>
                </c:pt>
                <c:pt idx="5">
                  <c:v>2</c:v>
                </c:pt>
                <c:pt idx="6">
                  <c:v>1</c:v>
                </c:pt>
                <c:pt idx="7">
                  <c:v>1</c:v>
                </c:pt>
                <c:pt idx="8">
                  <c:v>1</c:v>
                </c:pt>
                <c:pt idx="9">
                  <c:v>1</c:v>
                </c:pt>
                <c:pt idx="10">
                  <c:v>1</c:v>
                </c:pt>
                <c:pt idx="11">
                  <c:v>1</c:v>
                </c:pt>
              </c:numCache>
            </c:numRef>
          </c:val>
          <c:extLst>
            <c:ext xmlns:c16="http://schemas.microsoft.com/office/drawing/2014/chart" uri="{C3380CC4-5D6E-409C-BE32-E72D297353CC}">
              <c16:uniqueId val="{00000001-DA79-4039-98E3-91900D9E31A5}"/>
            </c:ext>
          </c:extLst>
        </c:ser>
        <c:ser>
          <c:idx val="2"/>
          <c:order val="2"/>
          <c:tx>
            <c:strRef>
              <c:f>Pivot_Table!$S$2:$S$3</c:f>
              <c:strCache>
                <c:ptCount val="1"/>
                <c:pt idx="0">
                  <c:v>Medium</c:v>
                </c:pt>
              </c:strCache>
            </c:strRef>
          </c:tx>
          <c:spPr>
            <a:solidFill>
              <a:srgbClr val="FFFF00"/>
            </a:solidFill>
            <a:ln>
              <a:noFill/>
            </a:ln>
            <a:effectLst/>
          </c:spPr>
          <c:invertIfNegative val="0"/>
          <c:cat>
            <c:strRef>
              <c:f>Pivot_Table!$P$4:$P$19</c:f>
              <c:strCache>
                <c:ptCount val="16"/>
                <c:pt idx="0">
                  <c:v>Agbara</c:v>
                </c:pt>
                <c:pt idx="1">
                  <c:v>Mowe</c:v>
                </c:pt>
                <c:pt idx="2">
                  <c:v>Arepo</c:v>
                </c:pt>
                <c:pt idx="3">
                  <c:v>Ofada</c:v>
                </c:pt>
                <c:pt idx="4">
                  <c:v>Ala-Ijebu</c:v>
                </c:pt>
                <c:pt idx="5">
                  <c:v>Magboro</c:v>
                </c:pt>
                <c:pt idx="6">
                  <c:v>Owode</c:v>
                </c:pt>
                <c:pt idx="7">
                  <c:v>Magodo</c:v>
                </c:pt>
                <c:pt idx="8">
                  <c:v>Sango Ota</c:v>
                </c:pt>
                <c:pt idx="9">
                  <c:v>Atan</c:v>
                </c:pt>
                <c:pt idx="10">
                  <c:v>Shimawa</c:v>
                </c:pt>
                <c:pt idx="11">
                  <c:v>Magada</c:v>
                </c:pt>
                <c:pt idx="12">
                  <c:v>Somenke</c:v>
                </c:pt>
                <c:pt idx="13">
                  <c:v>Asese</c:v>
                </c:pt>
                <c:pt idx="14">
                  <c:v>Aiyetoro</c:v>
                </c:pt>
                <c:pt idx="15">
                  <c:v>Akute</c:v>
                </c:pt>
              </c:strCache>
            </c:strRef>
          </c:cat>
          <c:val>
            <c:numRef>
              <c:f>Pivot_Table!$S$4:$S$19</c:f>
              <c:numCache>
                <c:formatCode>General</c:formatCode>
                <c:ptCount val="16"/>
                <c:pt idx="1">
                  <c:v>1</c:v>
                </c:pt>
                <c:pt idx="2">
                  <c:v>4</c:v>
                </c:pt>
                <c:pt idx="5">
                  <c:v>2</c:v>
                </c:pt>
                <c:pt idx="13">
                  <c:v>1</c:v>
                </c:pt>
                <c:pt idx="14">
                  <c:v>1</c:v>
                </c:pt>
                <c:pt idx="15">
                  <c:v>1</c:v>
                </c:pt>
              </c:numCache>
            </c:numRef>
          </c:val>
          <c:extLst>
            <c:ext xmlns:c16="http://schemas.microsoft.com/office/drawing/2014/chart" uri="{C3380CC4-5D6E-409C-BE32-E72D297353CC}">
              <c16:uniqueId val="{00000002-DA79-4039-98E3-91900D9E31A5}"/>
            </c:ext>
          </c:extLst>
        </c:ser>
        <c:dLbls>
          <c:showLegendKey val="0"/>
          <c:showVal val="0"/>
          <c:showCatName val="0"/>
          <c:showSerName val="0"/>
          <c:showPercent val="0"/>
          <c:showBubbleSize val="0"/>
        </c:dLbls>
        <c:gapWidth val="219"/>
        <c:overlap val="-27"/>
        <c:axId val="244681744"/>
        <c:axId val="253343136"/>
      </c:barChart>
      <c:catAx>
        <c:axId val="24468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53343136"/>
        <c:crosses val="autoZero"/>
        <c:auto val="1"/>
        <c:lblAlgn val="ctr"/>
        <c:lblOffset val="100"/>
        <c:noMultiLvlLbl val="0"/>
      </c:catAx>
      <c:valAx>
        <c:axId val="25334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4468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[ogun property investment dashboard.xlsx]Pivot_Table!PivotTable13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Price by Location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Pivot_Table!$M$3:$M$19</c:f>
              <c:strCache>
                <c:ptCount val="16"/>
                <c:pt idx="0">
                  <c:v>Magada</c:v>
                </c:pt>
                <c:pt idx="1">
                  <c:v>Akute</c:v>
                </c:pt>
                <c:pt idx="2">
                  <c:v>Arepo</c:v>
                </c:pt>
                <c:pt idx="3">
                  <c:v>Shimawa</c:v>
                </c:pt>
                <c:pt idx="4">
                  <c:v>Agbara</c:v>
                </c:pt>
                <c:pt idx="5">
                  <c:v>Magodo</c:v>
                </c:pt>
                <c:pt idx="6">
                  <c:v>Aiyetoro</c:v>
                </c:pt>
                <c:pt idx="7">
                  <c:v>Magboro</c:v>
                </c:pt>
                <c:pt idx="8">
                  <c:v>Mowe</c:v>
                </c:pt>
                <c:pt idx="9">
                  <c:v>Sango Ota</c:v>
                </c:pt>
                <c:pt idx="10">
                  <c:v>Ofada</c:v>
                </c:pt>
                <c:pt idx="11">
                  <c:v>Asese</c:v>
                </c:pt>
                <c:pt idx="12">
                  <c:v>Atan</c:v>
                </c:pt>
                <c:pt idx="13">
                  <c:v>Ala-Ijebu</c:v>
                </c:pt>
                <c:pt idx="14">
                  <c:v>Owode</c:v>
                </c:pt>
                <c:pt idx="15">
                  <c:v>Somenke</c:v>
                </c:pt>
              </c:strCache>
            </c:strRef>
          </c:cat>
          <c:val>
            <c:numRef>
              <c:f>Pivot_Table!$N$3:$N$19</c:f>
              <c:numCache>
                <c:formatCode>"₦"#,##0</c:formatCode>
                <c:ptCount val="16"/>
                <c:pt idx="0">
                  <c:v>600000000</c:v>
                </c:pt>
                <c:pt idx="1">
                  <c:v>380000000</c:v>
                </c:pt>
                <c:pt idx="2">
                  <c:v>178333333.33333334</c:v>
                </c:pt>
                <c:pt idx="3">
                  <c:v>161000000</c:v>
                </c:pt>
                <c:pt idx="4">
                  <c:v>67000000</c:v>
                </c:pt>
                <c:pt idx="5">
                  <c:v>65000000</c:v>
                </c:pt>
                <c:pt idx="6">
                  <c:v>50000000</c:v>
                </c:pt>
                <c:pt idx="7">
                  <c:v>49125000</c:v>
                </c:pt>
                <c:pt idx="8">
                  <c:v>25077777.777777776</c:v>
                </c:pt>
                <c:pt idx="9">
                  <c:v>18000000</c:v>
                </c:pt>
                <c:pt idx="10">
                  <c:v>16750000</c:v>
                </c:pt>
                <c:pt idx="11">
                  <c:v>10000000</c:v>
                </c:pt>
                <c:pt idx="12">
                  <c:v>5300000</c:v>
                </c:pt>
                <c:pt idx="13">
                  <c:v>5250000</c:v>
                </c:pt>
                <c:pt idx="14">
                  <c:v>4750000</c:v>
                </c:pt>
                <c:pt idx="15">
                  <c:v>3750000</c:v>
                </c:pt>
              </c:numCache>
            </c:numRef>
          </c:val>
          <c:extLst>
            <c:ext xmlns:c16="http://schemas.microsoft.com/office/drawing/2014/chart" uri="{C3380CC4-5D6E-409C-BE32-E72D297353CC}">
              <c16:uniqueId val="{00000000-FA7C-4A48-B86D-B30C1321AC0C}"/>
            </c:ext>
          </c:extLst>
        </c:ser>
        <c:dLbls>
          <c:dLblPos val="outEnd"/>
          <c:showLegendKey val="0"/>
          <c:showVal val="1"/>
          <c:showCatName val="0"/>
          <c:showSerName val="0"/>
          <c:showPercent val="0"/>
          <c:showBubbleSize val="0"/>
        </c:dLbls>
        <c:gapWidth val="444"/>
        <c:overlap val="-90"/>
        <c:axId val="1082761888"/>
        <c:axId val="1082763552"/>
      </c:barChart>
      <c:catAx>
        <c:axId val="108276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NG"/>
          </a:p>
        </c:txPr>
        <c:crossAx val="1082763552"/>
        <c:crosses val="autoZero"/>
        <c:auto val="1"/>
        <c:lblAlgn val="ctr"/>
        <c:lblOffset val="100"/>
        <c:noMultiLvlLbl val="0"/>
      </c:catAx>
      <c:valAx>
        <c:axId val="1082763552"/>
        <c:scaling>
          <c:orientation val="minMax"/>
        </c:scaling>
        <c:delete val="1"/>
        <c:axPos val="l"/>
        <c:numFmt formatCode="&quot;₦&quot;#,##0" sourceLinked="1"/>
        <c:majorTickMark val="none"/>
        <c:minorTickMark val="none"/>
        <c:tickLblPos val="nextTo"/>
        <c:crossAx val="108276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885826</xdr:colOff>
      <xdr:row>7</xdr:row>
      <xdr:rowOff>171450</xdr:rowOff>
    </xdr:from>
    <xdr:to>
      <xdr:col>6</xdr:col>
      <xdr:colOff>542925</xdr:colOff>
      <xdr:row>22</xdr:row>
      <xdr:rowOff>57150</xdr:rowOff>
    </xdr:to>
    <xdr:graphicFrame macro="">
      <xdr:nvGraphicFramePr>
        <xdr:cNvPr id="3" name="Chart 2">
          <a:extLst>
            <a:ext uri="{FF2B5EF4-FFF2-40B4-BE49-F238E27FC236}">
              <a16:creationId xmlns:a16="http://schemas.microsoft.com/office/drawing/2014/main" id="{213DEE88-1392-4B45-88F9-E7F2D95AE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828675</xdr:colOff>
      <xdr:row>8</xdr:row>
      <xdr:rowOff>28575</xdr:rowOff>
    </xdr:from>
    <xdr:to>
      <xdr:col>11</xdr:col>
      <xdr:colOff>590550</xdr:colOff>
      <xdr:row>22</xdr:row>
      <xdr:rowOff>104775</xdr:rowOff>
    </xdr:to>
    <xdr:graphicFrame macro="">
      <xdr:nvGraphicFramePr>
        <xdr:cNvPr id="4" name="Chart 3">
          <a:extLst>
            <a:ext uri="{FF2B5EF4-FFF2-40B4-BE49-F238E27FC236}">
              <a16:creationId xmlns:a16="http://schemas.microsoft.com/office/drawing/2014/main" id="{BE0CA099-2389-42E9-96FA-4E8BFF040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47624</xdr:colOff>
      <xdr:row>7</xdr:row>
      <xdr:rowOff>161925</xdr:rowOff>
    </xdr:from>
    <xdr:to>
      <xdr:col>20</xdr:col>
      <xdr:colOff>247649</xdr:colOff>
      <xdr:row>22</xdr:row>
      <xdr:rowOff>38100</xdr:rowOff>
    </xdr:to>
    <xdr:graphicFrame macro="">
      <xdr:nvGraphicFramePr>
        <xdr:cNvPr id="5" name="Chart 4">
          <a:extLst>
            <a:ext uri="{FF2B5EF4-FFF2-40B4-BE49-F238E27FC236}">
              <a16:creationId xmlns:a16="http://schemas.microsoft.com/office/drawing/2014/main" id="{EB9BACAC-2172-4723-8985-2A682F9C3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209549</xdr:colOff>
      <xdr:row>7</xdr:row>
      <xdr:rowOff>152400</xdr:rowOff>
    </xdr:from>
    <xdr:to>
      <xdr:col>3</xdr:col>
      <xdr:colOff>628650</xdr:colOff>
      <xdr:row>22</xdr:row>
      <xdr:rowOff>38100</xdr:rowOff>
    </xdr:to>
    <xdr:graphicFrame macro="">
      <xdr:nvGraphicFramePr>
        <xdr:cNvPr id="6" name="Chart 5">
          <a:extLst>
            <a:ext uri="{FF2B5EF4-FFF2-40B4-BE49-F238E27FC236}">
              <a16:creationId xmlns:a16="http://schemas.microsoft.com/office/drawing/2014/main" id="{6633BFEF-6023-4511-B3C4-A79D6AA03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238124</xdr:colOff>
      <xdr:row>0</xdr:row>
      <xdr:rowOff>0</xdr:rowOff>
    </xdr:from>
    <xdr:to>
      <xdr:col>8</xdr:col>
      <xdr:colOff>476249</xdr:colOff>
      <xdr:row>5</xdr:row>
      <xdr:rowOff>9524</xdr:rowOff>
    </xdr:to>
    <mc:AlternateContent xmlns:mc="http://schemas.openxmlformats.org/markup-compatibility/2006">
      <mc:Choice xmlns:a14="http://schemas.microsoft.com/office/drawing/2010/main" Requires="a14">
        <xdr:graphicFrame macro="">
          <xdr:nvGraphicFramePr>
            <xdr:cNvPr id="7" name="Title_Risk_Level">
              <a:extLst>
                <a:ext uri="{FF2B5EF4-FFF2-40B4-BE49-F238E27FC236}">
                  <a16:creationId xmlns:a16="http://schemas.microsoft.com/office/drawing/2014/main" id="{0EF69C34-2482-4635-B3A7-9A36B8A660E5}"/>
                </a:ext>
              </a:extLst>
            </xdr:cNvPr>
            <xdr:cNvGraphicFramePr/>
          </xdr:nvGraphicFramePr>
          <xdr:xfrm>
            <a:off x="0" y="0"/>
            <a:ext cx="0" cy="0"/>
          </xdr:xfrm>
          <a:graphic>
            <a:graphicData uri="http://schemas.microsoft.com/office/drawing/2010/slicer">
              <sle:slicer xmlns:sle="http://schemas.microsoft.com/office/drawing/2010/slicer" name="Title_Risk_Level"/>
            </a:graphicData>
          </a:graphic>
        </xdr:graphicFrame>
      </mc:Choice>
      <mc:Fallback>
        <xdr:sp macro="" textlink="">
          <xdr:nvSpPr>
            <xdr:cNvPr id="0" name=""/>
            <xdr:cNvSpPr>
              <a:spLocks noTextEdit="1"/>
            </xdr:cNvSpPr>
          </xdr:nvSpPr>
          <xdr:spPr>
            <a:xfrm>
              <a:off x="9039224" y="0"/>
              <a:ext cx="1285875" cy="135254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600075</xdr:colOff>
      <xdr:row>0</xdr:row>
      <xdr:rowOff>1</xdr:rowOff>
    </xdr:from>
    <xdr:to>
      <xdr:col>10</xdr:col>
      <xdr:colOff>571500</xdr:colOff>
      <xdr:row>5</xdr:row>
      <xdr:rowOff>9526</xdr:rowOff>
    </xdr:to>
    <mc:AlternateContent xmlns:mc="http://schemas.openxmlformats.org/markup-compatibility/2006">
      <mc:Choice xmlns:a14="http://schemas.microsoft.com/office/drawing/2010/main" Requires="a14">
        <xdr:graphicFrame macro="">
          <xdr:nvGraphicFramePr>
            <xdr:cNvPr id="8" name="Property_Category">
              <a:extLst>
                <a:ext uri="{FF2B5EF4-FFF2-40B4-BE49-F238E27FC236}">
                  <a16:creationId xmlns:a16="http://schemas.microsoft.com/office/drawing/2014/main" id="{D81760BD-520D-4D1E-9661-E4A9D64D3405}"/>
                </a:ext>
              </a:extLst>
            </xdr:cNvPr>
            <xdr:cNvGraphicFramePr/>
          </xdr:nvGraphicFramePr>
          <xdr:xfrm>
            <a:off x="0" y="0"/>
            <a:ext cx="0" cy="0"/>
          </xdr:xfrm>
          <a:graphic>
            <a:graphicData uri="http://schemas.microsoft.com/office/drawing/2010/slicer">
              <sle:slicer xmlns:sle="http://schemas.microsoft.com/office/drawing/2010/slicer" name="Property_Category"/>
            </a:graphicData>
          </a:graphic>
        </xdr:graphicFrame>
      </mc:Choice>
      <mc:Fallback>
        <xdr:sp macro="" textlink="">
          <xdr:nvSpPr>
            <xdr:cNvPr id="0" name=""/>
            <xdr:cNvSpPr>
              <a:spLocks noTextEdit="1"/>
            </xdr:cNvSpPr>
          </xdr:nvSpPr>
          <xdr:spPr>
            <a:xfrm>
              <a:off x="10448925" y="1"/>
              <a:ext cx="1190625" cy="13525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85725</xdr:colOff>
      <xdr:row>0</xdr:row>
      <xdr:rowOff>0</xdr:rowOff>
    </xdr:from>
    <xdr:to>
      <xdr:col>14</xdr:col>
      <xdr:colOff>85725</xdr:colOff>
      <xdr:row>5</xdr:row>
      <xdr:rowOff>19049</xdr:rowOff>
    </xdr:to>
    <mc:AlternateContent xmlns:mc="http://schemas.openxmlformats.org/markup-compatibility/2006">
      <mc:Choice xmlns:a14="http://schemas.microsoft.com/office/drawing/2010/main" Requires="a14">
        <xdr:graphicFrame macro="">
          <xdr:nvGraphicFramePr>
            <xdr:cNvPr id="9" name="Location">
              <a:extLst>
                <a:ext uri="{FF2B5EF4-FFF2-40B4-BE49-F238E27FC236}">
                  <a16:creationId xmlns:a16="http://schemas.microsoft.com/office/drawing/2014/main" id="{D23D6639-E138-4DEC-946F-D3B64281D8A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763375" y="0"/>
              <a:ext cx="1828800" cy="13620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409575</xdr:colOff>
      <xdr:row>7</xdr:row>
      <xdr:rowOff>152400</xdr:rowOff>
    </xdr:from>
    <xdr:to>
      <xdr:col>27</xdr:col>
      <xdr:colOff>428625</xdr:colOff>
      <xdr:row>22</xdr:row>
      <xdr:rowOff>38100</xdr:rowOff>
    </xdr:to>
    <xdr:graphicFrame macro="">
      <xdr:nvGraphicFramePr>
        <xdr:cNvPr id="10" name="Chart 9">
          <a:extLst>
            <a:ext uri="{FF2B5EF4-FFF2-40B4-BE49-F238E27FC236}">
              <a16:creationId xmlns:a16="http://schemas.microsoft.com/office/drawing/2014/main" id="{317D5C06-F332-45FB-95D8-719540033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840106</xdr:colOff>
      <xdr:row>31</xdr:row>
      <xdr:rowOff>182882</xdr:rowOff>
    </xdr:from>
    <xdr:to>
      <xdr:col>5</xdr:col>
      <xdr:colOff>885825</xdr:colOff>
      <xdr:row>32</xdr:row>
      <xdr:rowOff>38101</xdr:rowOff>
    </xdr:to>
    <xdr:sp macro="" textlink="">
      <xdr:nvSpPr>
        <xdr:cNvPr id="12" name="Rectangle: Rounded Corners 11">
          <a:extLst>
            <a:ext uri="{FF2B5EF4-FFF2-40B4-BE49-F238E27FC236}">
              <a16:creationId xmlns:a16="http://schemas.microsoft.com/office/drawing/2014/main" id="{7042D0DD-7AEC-458B-83AE-ED5CF4C4EBC1}"/>
            </a:ext>
          </a:extLst>
        </xdr:cNvPr>
        <xdr:cNvSpPr/>
      </xdr:nvSpPr>
      <xdr:spPr>
        <a:xfrm flipH="1">
          <a:off x="7345681" y="6478907"/>
          <a:ext cx="45719" cy="45719"/>
        </a:xfrm>
        <a:prstGeom prst="roundRect">
          <a:avLst/>
        </a:prstGeom>
        <a:noFill/>
        <a:ln>
          <a:solidFill>
            <a:schemeClr val="accent6">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421354745369" createdVersion="7" refreshedVersion="7" minRefreshableVersion="3" recordCount="50" xr:uid="{4B6C34A5-CAF3-4F31-A698-2E65D743978B}">
  <cacheSource type="worksheet">
    <worksheetSource ref="A1:K51" sheet="Raw_Data"/>
  </cacheSource>
  <cacheFields count="11">
    <cacheField name="Property_ID" numFmtId="0">
      <sharedItems count="50">
        <s v="OG01"/>
        <s v="OG02"/>
        <s v="OG03"/>
        <s v="OG04"/>
        <s v="OG05"/>
        <s v="OG06"/>
        <s v="OG07"/>
        <s v="OG08"/>
        <s v="OG09"/>
        <s v="OG10"/>
        <s v="OG11"/>
        <s v="OG12"/>
        <s v="OG13"/>
        <s v="OG14"/>
        <s v="OG15"/>
        <s v="OG16"/>
        <s v="OG17"/>
        <s v="OG18"/>
        <s v="OG19"/>
        <s v="OG20"/>
        <s v="OG21"/>
        <s v="OG22"/>
        <s v="OG23"/>
        <s v="OG24"/>
        <s v="OG25"/>
        <s v="OG26"/>
        <s v="OG27"/>
        <s v="OG28"/>
        <s v="OG29"/>
        <s v="OG30"/>
        <s v="OG31"/>
        <s v="OG32"/>
        <s v="OG33"/>
        <s v="OG34"/>
        <s v="OG35"/>
        <s v="OG36"/>
        <s v="OG37"/>
        <s v="OG38"/>
        <s v="OG39"/>
        <s v="OG40"/>
        <s v="OG41"/>
        <s v="OG42"/>
        <s v="OG43"/>
        <s v="OG44"/>
        <s v="OG45"/>
        <s v="OG46"/>
        <s v="OG47"/>
        <s v="OG48"/>
        <s v="OG49"/>
        <s v="OG50"/>
      </sharedItems>
    </cacheField>
    <cacheField name="Estate_Name" numFmtId="0">
      <sharedItems/>
    </cacheField>
    <cacheField name="Location" numFmtId="0">
      <sharedItems count="16">
        <s v="Mowe"/>
        <s v="Somenke"/>
        <s v="Asese"/>
        <s v="Shimawa"/>
        <s v="Sango Ota"/>
        <s v="Atan"/>
        <s v="Magboro"/>
        <s v="Ofada"/>
        <s v="Ala-Ijebu"/>
        <s v="Owode"/>
        <s v="Arepo"/>
        <s v="Agbara"/>
        <s v="Aiyetoro"/>
        <s v="Akute"/>
        <s v="Magada"/>
        <s v="Magodo"/>
      </sharedItems>
    </cacheField>
    <cacheField name="Location_Hub" numFmtId="0">
      <sharedItems containsBlank="1"/>
    </cacheField>
    <cacheField name="Property_Type" numFmtId="0">
      <sharedItems/>
    </cacheField>
    <cacheField name="Property_Category" numFmtId="0">
      <sharedItems/>
    </cacheField>
    <cacheField name="Plot_Size_Sqm" numFmtId="0">
      <sharedItems containsString="0" containsBlank="1" containsNumber="1" containsInteger="1" minValue="250" maxValue="1544"/>
    </cacheField>
    <cacheField name="Price_Per_Sqm_Naira" numFmtId="0">
      <sharedItems containsString="0" containsBlank="1" containsNumber="1" minValue="7500" maxValue="857142.85710000002"/>
    </cacheField>
    <cacheField name="Price" numFmtId="3">
      <sharedItems containsSemiMixedTypes="0" containsString="0" containsNumber="1" containsInteger="1" minValue="3000000" maxValue="600000000"/>
    </cacheField>
    <cacheField name="Title" numFmtId="0">
      <sharedItems/>
    </cacheField>
    <cacheField name="Title_Risk_Level"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443430671294" createdVersion="7" refreshedVersion="7" minRefreshableVersion="3" recordCount="50" xr:uid="{AA428324-E1E9-434B-80DC-B63D1A9D50EE}">
  <cacheSource type="worksheet">
    <worksheetSource ref="A1:L51" sheet="Raw_Data"/>
  </cacheSource>
  <cacheFields count="12">
    <cacheField name="Property_ID" numFmtId="0">
      <sharedItems/>
    </cacheField>
    <cacheField name="Estate_Name" numFmtId="0">
      <sharedItems/>
    </cacheField>
    <cacheField name="Location" numFmtId="0">
      <sharedItems count="16">
        <s v="Mowe"/>
        <s v="Somenke"/>
        <s v="Asese"/>
        <s v="Shimawa"/>
        <s v="Sango Ota"/>
        <s v="Atan"/>
        <s v="Magboro"/>
        <s v="Ofada"/>
        <s v="Ala-Ijebu"/>
        <s v="Owode"/>
        <s v="Arepo"/>
        <s v="Agbara"/>
        <s v="Aiyetoro"/>
        <s v="Akute"/>
        <s v="Magada"/>
        <s v="Magodo"/>
      </sharedItems>
    </cacheField>
    <cacheField name="Location_Hub" numFmtId="0">
      <sharedItems containsBlank="1"/>
    </cacheField>
    <cacheField name="Property_Type" numFmtId="0">
      <sharedItems/>
    </cacheField>
    <cacheField name="Property_Category" numFmtId="0">
      <sharedItems count="3">
        <s v="Land"/>
        <s v="Residential"/>
        <s v="Commercial"/>
      </sharedItems>
    </cacheField>
    <cacheField name="Plot_Size_Sqm" numFmtId="0">
      <sharedItems containsString="0" containsBlank="1" containsNumber="1" containsInteger="1" minValue="250" maxValue="1544"/>
    </cacheField>
    <cacheField name="Price_Per_Sqm_Naira" numFmtId="0">
      <sharedItems containsString="0" containsBlank="1" containsNumber="1" minValue="7500" maxValue="857142.85710000002"/>
    </cacheField>
    <cacheField name="Price" numFmtId="3">
      <sharedItems containsSemiMixedTypes="0" containsString="0" containsNumber="1" containsInteger="1" minValue="3000000" maxValue="600000000"/>
    </cacheField>
    <cacheField name="Title" numFmtId="0">
      <sharedItems/>
    </cacheField>
    <cacheField name="Title_Risk_Level" numFmtId="0">
      <sharedItems count="3">
        <s v="Low"/>
        <s v="High"/>
        <s v="Medium"/>
      </sharedItems>
    </cacheField>
    <cacheField name="MARKET_SEGMENT" numFmtId="0">
      <sharedItems count="3">
        <s v="PREMIUM"/>
        <s v="AFFORDABLE"/>
        <s v="Not Classified"/>
      </sharedItems>
    </cacheField>
  </cacheFields>
  <extLst>
    <ext xmlns:x14="http://schemas.microsoft.com/office/spreadsheetml/2009/9/main" uri="{725AE2AE-9491-48be-B2B4-4EB974FC3084}">
      <x14:pivotCacheDefinition pivotCacheId="1572581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Mowe Gulf"/>
    <x v="0"/>
    <s v="Mowe-Ofada"/>
    <s v="Land"/>
    <s v="Land"/>
    <n v="500"/>
    <n v="40000"/>
    <n v="20000000"/>
    <s v="C of O"/>
    <s v="Low"/>
  </r>
  <r>
    <x v="1"/>
    <s v="Native Pride Estate"/>
    <x v="1"/>
    <m/>
    <s v="Land"/>
    <s v="Land"/>
    <n v="500"/>
    <n v="7500"/>
    <n v="3750000"/>
    <s v="Unspecified"/>
    <s v="High"/>
  </r>
  <r>
    <x v="2"/>
    <s v="Queens Park Estate"/>
    <x v="0"/>
    <s v="Mowe-Ofada"/>
    <s v="Land"/>
    <s v="Land"/>
    <n v="500"/>
    <n v="11000"/>
    <n v="5500000"/>
    <s v="Registered Survey"/>
    <s v="Medium"/>
  </r>
  <r>
    <x v="3"/>
    <s v="Oakville Green Estate"/>
    <x v="0"/>
    <s v="Mowe-Ofada"/>
    <s v="Land"/>
    <s v="Land"/>
    <n v="500"/>
    <n v="14000"/>
    <n v="7000000"/>
    <s v="C of O"/>
    <s v="Low"/>
  </r>
  <r>
    <x v="4"/>
    <s v="Oakville Green Estate"/>
    <x v="0"/>
    <s v="Mowe-Ofada"/>
    <s v="Land"/>
    <s v="Land"/>
    <n v="300"/>
    <n v="15000"/>
    <n v="4500000"/>
    <s v="C of O"/>
    <s v="Low"/>
  </r>
  <r>
    <x v="5"/>
    <s v="Open Land"/>
    <x v="2"/>
    <m/>
    <s v="Land"/>
    <s v="Land"/>
    <n v="500"/>
    <n v="24000"/>
    <n v="12000000"/>
    <s v="Registered Deed, Family Receipt"/>
    <s v="High"/>
  </r>
  <r>
    <x v="6"/>
    <s v="Berlin Estate"/>
    <x v="0"/>
    <s v="Mowe-Ofada"/>
    <s v="Land"/>
    <s v="Land"/>
    <n v="500"/>
    <n v="13400"/>
    <n v="6700000"/>
    <s v="Unspecified"/>
    <s v="High"/>
  </r>
  <r>
    <x v="7"/>
    <s v="Emerald Garden City"/>
    <x v="3"/>
    <s v="Shimawa"/>
    <s v="Land"/>
    <s v="Land"/>
    <n v="500"/>
    <n v="50000"/>
    <n v="25000000"/>
    <s v="C of O"/>
    <s v="Low"/>
  </r>
  <r>
    <x v="8"/>
    <s v="Open Land"/>
    <x v="3"/>
    <s v="Shimawa"/>
    <s v="Land"/>
    <s v="Land"/>
    <n v="500"/>
    <n v="16000"/>
    <n v="8000000"/>
    <s v="Survey"/>
    <s v="High"/>
  </r>
  <r>
    <x v="9"/>
    <s v="Iyana Iyesi"/>
    <x v="4"/>
    <s v="Ota"/>
    <s v="Land"/>
    <s v="Land"/>
    <n v="500"/>
    <n v="36000"/>
    <n v="18000000"/>
    <s v="C of O, Registered Survey"/>
    <s v="Low"/>
  </r>
  <r>
    <x v="10"/>
    <s v="Grandview Park &amp; Gardens Phase 1"/>
    <x v="5"/>
    <s v="Atan-Ota"/>
    <s v="Land"/>
    <s v="Land"/>
    <n v="600"/>
    <n v="9333.3333330000005"/>
    <n v="5600000"/>
    <s v="Unspecified"/>
    <s v="High"/>
  </r>
  <r>
    <x v="11"/>
    <s v="GrandView Park and Gardens Estate"/>
    <x v="5"/>
    <s v="Atan-Ota"/>
    <s v="Land"/>
    <s v="Land"/>
    <n v="600"/>
    <n v="8333.3333330000005"/>
    <n v="5000000"/>
    <s v="C of O, Registered Survey"/>
    <s v="Low"/>
  </r>
  <r>
    <x v="12"/>
    <s v="Zenith Garden"/>
    <x v="6"/>
    <s v="Magboro"/>
    <s v="Land"/>
    <s v="Land"/>
    <n v="500"/>
    <n v="8000"/>
    <n v="4000000"/>
    <s v="Registered Survey"/>
    <s v="Medium"/>
  </r>
  <r>
    <x v="13"/>
    <s v="Residential Land"/>
    <x v="6"/>
    <s v="Magboro"/>
    <s v="Land"/>
    <s v="Land"/>
    <n v="500"/>
    <n v="30000"/>
    <n v="15000000"/>
    <s v="C of O"/>
    <s v="Low"/>
  </r>
  <r>
    <x v="14"/>
    <s v="Residential Land"/>
    <x v="6"/>
    <s v="Magboro"/>
    <s v="Land"/>
    <s v="Land"/>
    <n v="250"/>
    <n v="30000"/>
    <n v="7500000"/>
    <s v="C of O"/>
    <s v="Low"/>
  </r>
  <r>
    <x v="15"/>
    <s v="Residential Land"/>
    <x v="2"/>
    <s v="Igbafo"/>
    <s v="Land"/>
    <s v="Land"/>
    <n v="300"/>
    <n v="26666.666669999999"/>
    <n v="8000000"/>
    <s v="Family Receipt, Deed of Assignment"/>
    <s v="Medium"/>
  </r>
  <r>
    <x v="16"/>
    <s v="Ofada Aprk Estate"/>
    <x v="7"/>
    <m/>
    <s v="Land"/>
    <s v="Land"/>
    <n v="500"/>
    <n v="11000"/>
    <n v="5500000"/>
    <s v="C of O"/>
    <s v="Low"/>
  </r>
  <r>
    <x v="17"/>
    <s v="Residential Land"/>
    <x v="7"/>
    <m/>
    <s v="Land"/>
    <s v="Land"/>
    <n v="540"/>
    <n v="51851.851849999999"/>
    <n v="28000000"/>
    <s v="C of O, Registered Survey"/>
    <s v="Low"/>
  </r>
  <r>
    <x v="18"/>
    <s v="Kingsway estate"/>
    <x v="8"/>
    <m/>
    <s v="Land"/>
    <s v="Land"/>
    <n v="500"/>
    <n v="14000"/>
    <n v="7000000"/>
    <s v="C of O"/>
    <s v="Low"/>
  </r>
  <r>
    <x v="19"/>
    <s v="Kingsway estate"/>
    <x v="8"/>
    <m/>
    <s v="Land"/>
    <s v="Land"/>
    <n v="250"/>
    <n v="14000"/>
    <n v="3500000"/>
    <s v="C of O"/>
    <s v="Low"/>
  </r>
  <r>
    <x v="20"/>
    <s v="Quenns Homes Elizabeth Court"/>
    <x v="0"/>
    <s v="Mowe-Ofada"/>
    <s v="3 Bedroom Apartment"/>
    <s v="Residential"/>
    <m/>
    <m/>
    <n v="60000000"/>
    <s v="C of O"/>
    <s v="Low"/>
  </r>
  <r>
    <x v="21"/>
    <s v="Quenns Homes Diana Court"/>
    <x v="0"/>
    <s v="Mowe-Ofada"/>
    <s v="2 Bedroom Apartment"/>
    <s v="Residential"/>
    <m/>
    <m/>
    <n v="47000000"/>
    <s v="C of O"/>
    <s v="Low"/>
  </r>
  <r>
    <x v="22"/>
    <s v="6-Unit Apartment Building"/>
    <x v="6"/>
    <s v="Obafemi-Owode"/>
    <s v="3 Bedroom Apartment (6 Units)"/>
    <s v="Residential"/>
    <m/>
    <m/>
    <n v="170000000"/>
    <s v="Receipt, survey, Deed of Assignment"/>
    <s v="Medium"/>
  </r>
  <r>
    <x v="23"/>
    <s v="Pearl Crest Estate"/>
    <x v="9"/>
    <s v="Obafemi-Owode"/>
    <s v="Land"/>
    <s v="Land"/>
    <n v="460"/>
    <n v="10326.086960000001"/>
    <n v="4750000"/>
    <s v="Registered Survey"/>
    <s v="Low"/>
  </r>
  <r>
    <x v="24"/>
    <s v="Detached Duplex"/>
    <x v="10"/>
    <s v="Berger–Arepo"/>
    <s v="5 Bedroom Apartment with 1 BQ"/>
    <s v="Residential"/>
    <m/>
    <m/>
    <n v="180000000"/>
    <s v="Unspecified"/>
    <s v="High"/>
  </r>
  <r>
    <x v="25"/>
    <s v="Unity Estate"/>
    <x v="10"/>
    <s v="Berger–Arepo"/>
    <s v="3 Bedroom Apartment (5 Units)"/>
    <s v="Residential"/>
    <m/>
    <m/>
    <n v="250000000"/>
    <s v="C of O"/>
    <s v="Low"/>
  </r>
  <r>
    <x v="26"/>
    <s v="Citi View Estate"/>
    <x v="10"/>
    <s v="Berger–Arepo"/>
    <s v="4 Bedroom Semi Detached"/>
    <s v="Residential"/>
    <m/>
    <m/>
    <n v="180000000"/>
    <s v="C of O"/>
    <s v="Low"/>
  </r>
  <r>
    <x v="27"/>
    <s v="Queens Land Estate"/>
    <x v="11"/>
    <s v="Atan-Ota"/>
    <s v="3 Bedroom Detached Bungalow"/>
    <s v="Residential"/>
    <m/>
    <m/>
    <n v="60500000"/>
    <s v="C of O"/>
    <s v="Low"/>
  </r>
  <r>
    <x v="28"/>
    <s v="A Unit of Bungalow"/>
    <x v="12"/>
    <s v="Itele-Ota"/>
    <s v="3 Bedroom Bungalow"/>
    <s v="Residential"/>
    <n v="700"/>
    <n v="71428.571429999996"/>
    <n v="50000000"/>
    <s v="Family Receipt, Deed of Assignment"/>
    <s v="Medium"/>
  </r>
  <r>
    <x v="29"/>
    <s v="Queens Land Estate"/>
    <x v="11"/>
    <s v="Atan-Ota"/>
    <s v="2 Bedroom Apartment"/>
    <s v="Residential"/>
    <m/>
    <m/>
    <n v="32500000"/>
    <s v="C of O"/>
    <s v="Low"/>
  </r>
  <r>
    <x v="30"/>
    <s v="Queens Land Estate"/>
    <x v="11"/>
    <s v="Atan-Ota"/>
    <s v="Land"/>
    <s v="Land"/>
    <n v="600"/>
    <n v="10000"/>
    <n v="6000000"/>
    <s v="C of O"/>
    <s v="Low"/>
  </r>
  <r>
    <x v="31"/>
    <s v="Queens Land Estate"/>
    <x v="11"/>
    <s v="Atan-Ota"/>
    <s v="Land"/>
    <s v="Land"/>
    <n v="300"/>
    <n v="10000"/>
    <n v="3000000"/>
    <s v="C of O"/>
    <s v="Low"/>
  </r>
  <r>
    <x v="32"/>
    <s v="Residential Land"/>
    <x v="0"/>
    <s v="Mowe-Ofada"/>
    <s v="Land"/>
    <s v="Land"/>
    <n v="500"/>
    <n v="14000"/>
    <n v="7000000"/>
    <s v="C of O"/>
    <s v="Low"/>
  </r>
  <r>
    <x v="33"/>
    <s v="Bluestone Estate"/>
    <x v="0"/>
    <s v="Mowe-Ofada"/>
    <s v="3 Bedroom Apartment with BQ"/>
    <s v="Residential"/>
    <n v="600"/>
    <n v="113333.3333"/>
    <n v="68000000"/>
    <s v="Unspecified"/>
    <s v="High"/>
  </r>
  <r>
    <x v="34"/>
    <s v="Twin Storey Building"/>
    <x v="10"/>
    <s v="Berger–Arepo"/>
    <s v="3 Bedroom units, 2 Bedroom Apartment (4 Units)"/>
    <s v="Residential"/>
    <n v="614"/>
    <n v="228013.02929999999"/>
    <n v="140000000"/>
    <s v="Deed of Assignments, Survey, Payment Recipts"/>
    <s v="Medium"/>
  </r>
  <r>
    <x v="35"/>
    <s v="Institutional Property"/>
    <x v="3"/>
    <s v="Shimawa"/>
    <s v="Plaza/Commercial Complex"/>
    <s v="Commercial"/>
    <n v="1022"/>
    <n v="440313.1115"/>
    <n v="450000000"/>
    <s v="Unspecified"/>
    <s v="High"/>
  </r>
  <r>
    <x v="36"/>
    <s v="Big Shopping Complex"/>
    <x v="13"/>
    <s v="Ifo"/>
    <s v="Plaza/Commercial Complex"/>
    <s v="Commercial"/>
    <n v="1544"/>
    <n v="246113.9896"/>
    <n v="380000000"/>
    <s v="Reciept, Survey, Deed of Asssignment"/>
    <s v="Medium"/>
  </r>
  <r>
    <x v="37"/>
    <s v="Lounge ,Bar and Apartment"/>
    <x v="14"/>
    <s v="Ibafo"/>
    <s v="2 Bedroom Apartment (3 units),1 Mini Flat"/>
    <s v="Commercial"/>
    <n v="700"/>
    <n v="857142.85710000002"/>
    <n v="600000000"/>
    <s v="C of O"/>
    <s v="Low"/>
  </r>
  <r>
    <x v="38"/>
    <s v="Agbara Estate"/>
    <x v="11"/>
    <s v="Ado-Odo/Ota"/>
    <s v="Land"/>
    <s v="Land"/>
    <n v="1263"/>
    <n v="118764.8456"/>
    <n v="150000000"/>
    <s v="C of O"/>
    <s v="Low"/>
  </r>
  <r>
    <x v="39"/>
    <s v="Detached Bungalows"/>
    <x v="15"/>
    <s v="Magodo"/>
    <s v="4 Bedroom Apartment"/>
    <s v="Residential"/>
    <m/>
    <m/>
    <n v="65000000"/>
    <s v="Unspecified"/>
    <s v="High"/>
  </r>
  <r>
    <x v="40"/>
    <s v="Agbara Estate"/>
    <x v="11"/>
    <s v="Ado-Odo/Ota"/>
    <s v="Land"/>
    <s v="Land"/>
    <n v="1263"/>
    <n v="118764.8456"/>
    <n v="150000000"/>
    <s v="C of O"/>
    <s v="Low"/>
  </r>
  <r>
    <x v="41"/>
    <s v="Spark Light"/>
    <x v="15"/>
    <s v="Magodo"/>
    <s v="3 Bedroom Apartment, 2 Bedroom Apartment with BQ"/>
    <s v="Residential"/>
    <m/>
    <m/>
    <n v="65000000"/>
    <s v="C of O"/>
    <s v="Low"/>
  </r>
  <r>
    <x v="42"/>
    <s v="Journalist Estate"/>
    <x v="10"/>
    <s v="Berger–Arepo"/>
    <s v="4 Bedroom Duplex"/>
    <s v="Residential"/>
    <m/>
    <m/>
    <n v="175000000"/>
    <s v="C of O"/>
    <s v="Low"/>
  </r>
  <r>
    <x v="43"/>
    <s v="Journalist Estate"/>
    <x v="10"/>
    <s v="Berger–Arepo"/>
    <s v="3 Bedroom Duplex, Lounge with BQ"/>
    <s v="Residential"/>
    <m/>
    <m/>
    <n v="110000000"/>
    <s v="Reciept, Survey, Allocation letter"/>
    <s v="Medium"/>
  </r>
  <r>
    <x v="44"/>
    <s v="Forthnight Garden Estate"/>
    <x v="10"/>
    <s v="Berger–Arepo"/>
    <s v="5 Bedroom Detached House (All Rooms Ensuite)"/>
    <s v="Residential"/>
    <m/>
    <m/>
    <n v="200000000"/>
    <s v="C of O"/>
    <s v="Low"/>
  </r>
  <r>
    <x v="45"/>
    <s v="Forthnight Garden Estate"/>
    <x v="10"/>
    <s v="Berger–Arepo"/>
    <s v="4 Bedroom Semi-Detached"/>
    <s v="Residential"/>
    <m/>
    <m/>
    <n v="190000000"/>
    <s v="C of O"/>
    <s v="Low"/>
  </r>
  <r>
    <x v="46"/>
    <s v="T.A Gardens"/>
    <x v="10"/>
    <s v="Berger–Arepo"/>
    <s v="4 Bedroom Newly Built Terraced House"/>
    <s v="Residential"/>
    <m/>
    <m/>
    <n v="180000000"/>
    <s v="Unspecified"/>
    <s v="High"/>
  </r>
  <r>
    <x v="47"/>
    <s v="T.A Gardens"/>
    <x v="10"/>
    <s v="Berger–Arepo"/>
    <s v="4 Bedroom Newly Built with 2 Bedroom BQ"/>
    <s v="Residential"/>
    <m/>
    <m/>
    <n v="330000000"/>
    <s v="Unspecified"/>
    <s v="High"/>
  </r>
  <r>
    <x v="48"/>
    <s v="Journalist Estate"/>
    <x v="10"/>
    <s v="Berger–Arepo"/>
    <s v="Land"/>
    <s v="Land"/>
    <n v="648"/>
    <n v="200617.28400000001"/>
    <n v="130000000"/>
    <s v="Deed of Assignment, Survey, Allocation Letter"/>
    <s v="Medium"/>
  </r>
  <r>
    <x v="49"/>
    <s v="Residential Land"/>
    <x v="10"/>
    <s v="Berger–Arepo"/>
    <s v="Land"/>
    <s v="Land"/>
    <n v="521"/>
    <n v="143953.93470000001"/>
    <n v="75000000"/>
    <s v="Reciept, Survey, Deed of Asssignment"/>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OG01"/>
    <s v="Mowe Gulf"/>
    <x v="0"/>
    <s v="Mowe-Ofada"/>
    <s v="Land"/>
    <x v="0"/>
    <n v="500"/>
    <n v="40000"/>
    <n v="20000000"/>
    <s v="C of O"/>
    <x v="0"/>
    <x v="0"/>
  </r>
  <r>
    <s v="OG02"/>
    <s v="Native Pride Estate"/>
    <x v="1"/>
    <m/>
    <s v="Land"/>
    <x v="0"/>
    <n v="500"/>
    <n v="7500"/>
    <n v="3750000"/>
    <s v="Unspecified"/>
    <x v="1"/>
    <x v="1"/>
  </r>
  <r>
    <s v="OG03"/>
    <s v="Queens Park Estate"/>
    <x v="0"/>
    <s v="Mowe-Ofada"/>
    <s v="Land"/>
    <x v="0"/>
    <n v="500"/>
    <n v="11000"/>
    <n v="5500000"/>
    <s v="Registered Survey"/>
    <x v="2"/>
    <x v="1"/>
  </r>
  <r>
    <s v="OG04"/>
    <s v="Oakville Green Estate"/>
    <x v="0"/>
    <s v="Mowe-Ofada"/>
    <s v="Land"/>
    <x v="0"/>
    <n v="500"/>
    <n v="14000"/>
    <n v="7000000"/>
    <s v="C of O"/>
    <x v="0"/>
    <x v="1"/>
  </r>
  <r>
    <s v="OG05"/>
    <s v="Oakville Green Estate"/>
    <x v="0"/>
    <s v="Mowe-Ofada"/>
    <s v="Land"/>
    <x v="0"/>
    <n v="300"/>
    <n v="15000"/>
    <n v="4500000"/>
    <s v="C of O"/>
    <x v="0"/>
    <x v="1"/>
  </r>
  <r>
    <s v="OG06"/>
    <s v="Open Land"/>
    <x v="2"/>
    <m/>
    <s v="Land"/>
    <x v="0"/>
    <n v="500"/>
    <n v="24000"/>
    <n v="12000000"/>
    <s v="Registered Deed, Family Receipt"/>
    <x v="1"/>
    <x v="0"/>
  </r>
  <r>
    <s v="OG07"/>
    <s v="Berlin Estate"/>
    <x v="0"/>
    <s v="Mowe-Ofada"/>
    <s v="Land"/>
    <x v="0"/>
    <n v="500"/>
    <n v="13400"/>
    <n v="6700000"/>
    <s v="Unspecified"/>
    <x v="1"/>
    <x v="1"/>
  </r>
  <r>
    <s v="OG08"/>
    <s v="Emerald Garden City"/>
    <x v="3"/>
    <s v="Shimawa"/>
    <s v="Land"/>
    <x v="0"/>
    <n v="500"/>
    <n v="50000"/>
    <n v="25000000"/>
    <s v="C of O"/>
    <x v="0"/>
    <x v="0"/>
  </r>
  <r>
    <s v="OG09"/>
    <s v="Open Land"/>
    <x v="3"/>
    <s v="Shimawa"/>
    <s v="Land"/>
    <x v="0"/>
    <n v="500"/>
    <n v="16000"/>
    <n v="8000000"/>
    <s v="Survey"/>
    <x v="1"/>
    <x v="1"/>
  </r>
  <r>
    <s v="OG10"/>
    <s v="Iyana Iyesi"/>
    <x v="4"/>
    <s v="Ota"/>
    <s v="Land"/>
    <x v="0"/>
    <n v="500"/>
    <n v="36000"/>
    <n v="18000000"/>
    <s v="C of O, Registered Survey"/>
    <x v="0"/>
    <x v="0"/>
  </r>
  <r>
    <s v="OG11"/>
    <s v="Grandview Park &amp; Gardens Phase 1"/>
    <x v="5"/>
    <s v="Atan-Ota"/>
    <s v="Land"/>
    <x v="0"/>
    <n v="600"/>
    <n v="9333.3333330000005"/>
    <n v="5600000"/>
    <s v="Unspecified"/>
    <x v="1"/>
    <x v="1"/>
  </r>
  <r>
    <s v="OG12"/>
    <s v="GrandView Park and Gardens Estate"/>
    <x v="5"/>
    <s v="Atan-Ota"/>
    <s v="Land"/>
    <x v="0"/>
    <n v="600"/>
    <n v="8333.3333330000005"/>
    <n v="5000000"/>
    <s v="C of O, Registered Survey"/>
    <x v="0"/>
    <x v="1"/>
  </r>
  <r>
    <s v="OG13"/>
    <s v="Zenith Garden"/>
    <x v="6"/>
    <s v="Magboro"/>
    <s v="Land"/>
    <x v="0"/>
    <n v="500"/>
    <n v="8000"/>
    <n v="4000000"/>
    <s v="Registered Survey"/>
    <x v="2"/>
    <x v="1"/>
  </r>
  <r>
    <s v="OG14"/>
    <s v="Residential Land"/>
    <x v="6"/>
    <s v="Magboro"/>
    <s v="Land"/>
    <x v="0"/>
    <n v="500"/>
    <n v="30000"/>
    <n v="15000000"/>
    <s v="C of O"/>
    <x v="0"/>
    <x v="0"/>
  </r>
  <r>
    <s v="OG15"/>
    <s v="Residential Land"/>
    <x v="6"/>
    <s v="Magboro"/>
    <s v="Land"/>
    <x v="0"/>
    <n v="250"/>
    <n v="30000"/>
    <n v="7500000"/>
    <s v="C of O"/>
    <x v="0"/>
    <x v="0"/>
  </r>
  <r>
    <s v="OG16"/>
    <s v="Residential Land"/>
    <x v="2"/>
    <s v="Igbafo"/>
    <s v="Land"/>
    <x v="0"/>
    <n v="300"/>
    <n v="26666.666669999999"/>
    <n v="8000000"/>
    <s v="Family Receipt, Deed of Assignment"/>
    <x v="2"/>
    <x v="0"/>
  </r>
  <r>
    <s v="OG17"/>
    <s v="Ofada Aprk Estate"/>
    <x v="7"/>
    <m/>
    <s v="Land"/>
    <x v="0"/>
    <n v="500"/>
    <n v="11000"/>
    <n v="5500000"/>
    <s v="C of O"/>
    <x v="0"/>
    <x v="1"/>
  </r>
  <r>
    <s v="OG18"/>
    <s v="Residential Land"/>
    <x v="7"/>
    <m/>
    <s v="Land"/>
    <x v="0"/>
    <n v="540"/>
    <n v="51851.851849999999"/>
    <n v="28000000"/>
    <s v="C of O, Registered Survey"/>
    <x v="0"/>
    <x v="0"/>
  </r>
  <r>
    <s v="OG19"/>
    <s v="Kingsway estate"/>
    <x v="8"/>
    <m/>
    <s v="Land"/>
    <x v="0"/>
    <n v="500"/>
    <n v="14000"/>
    <n v="7000000"/>
    <s v="C of O"/>
    <x v="0"/>
    <x v="1"/>
  </r>
  <r>
    <s v="OG20"/>
    <s v="Kingsway estate"/>
    <x v="8"/>
    <m/>
    <s v="Land"/>
    <x v="0"/>
    <n v="250"/>
    <n v="14000"/>
    <n v="3500000"/>
    <s v="C of O"/>
    <x v="0"/>
    <x v="1"/>
  </r>
  <r>
    <s v="OG21"/>
    <s v="Quenns Homes Elizabeth Court"/>
    <x v="0"/>
    <s v="Mowe-Ofada"/>
    <s v="3 Bedroom Apartment"/>
    <x v="1"/>
    <m/>
    <m/>
    <n v="60000000"/>
    <s v="C of O"/>
    <x v="0"/>
    <x v="2"/>
  </r>
  <r>
    <s v="OG22"/>
    <s v="Quenns Homes Diana Court"/>
    <x v="0"/>
    <s v="Mowe-Ofada"/>
    <s v="2 Bedroom Apartment"/>
    <x v="1"/>
    <m/>
    <m/>
    <n v="47000000"/>
    <s v="C of O"/>
    <x v="0"/>
    <x v="2"/>
  </r>
  <r>
    <s v="OG23"/>
    <s v="6-Unit Apartment Building"/>
    <x v="6"/>
    <s v="Obafemi-Owode"/>
    <s v="3 Bedroom Apartment (6 Units)"/>
    <x v="1"/>
    <m/>
    <m/>
    <n v="170000000"/>
    <s v="Receipt, survey, Deed of Assignment"/>
    <x v="2"/>
    <x v="2"/>
  </r>
  <r>
    <s v="OG24"/>
    <s v="Pearl Crest Estate"/>
    <x v="9"/>
    <s v="Obafemi-Owode"/>
    <s v="Land"/>
    <x v="0"/>
    <n v="460"/>
    <n v="10326.086960000001"/>
    <n v="4750000"/>
    <s v="Registered Survey"/>
    <x v="0"/>
    <x v="1"/>
  </r>
  <r>
    <s v="OG25"/>
    <s v="Detached Duplex"/>
    <x v="10"/>
    <s v="Berger–Arepo"/>
    <s v="5 Bedroom Apartment with 1 BQ"/>
    <x v="1"/>
    <m/>
    <m/>
    <n v="180000000"/>
    <s v="Unspecified"/>
    <x v="1"/>
    <x v="2"/>
  </r>
  <r>
    <s v="OG26"/>
    <s v="Unity Estate"/>
    <x v="10"/>
    <s v="Berger–Arepo"/>
    <s v="3 Bedroom Apartment (5 Units)"/>
    <x v="1"/>
    <m/>
    <m/>
    <n v="250000000"/>
    <s v="C of O"/>
    <x v="0"/>
    <x v="2"/>
  </r>
  <r>
    <s v="OG27"/>
    <s v="Citi View Estate"/>
    <x v="10"/>
    <s v="Berger–Arepo"/>
    <s v="4 Bedroom Semi Detached"/>
    <x v="1"/>
    <m/>
    <m/>
    <n v="180000000"/>
    <s v="C of O"/>
    <x v="0"/>
    <x v="2"/>
  </r>
  <r>
    <s v="OG28"/>
    <s v="Queens Land Estate"/>
    <x v="11"/>
    <s v="Atan-Ota"/>
    <s v="3 Bedroom Detached Bungalow"/>
    <x v="1"/>
    <m/>
    <m/>
    <n v="60500000"/>
    <s v="C of O"/>
    <x v="0"/>
    <x v="2"/>
  </r>
  <r>
    <s v="OG29"/>
    <s v="A Unit of Bungalow"/>
    <x v="12"/>
    <s v="Itele-Ota"/>
    <s v="3 Bedroom Bungalow"/>
    <x v="1"/>
    <n v="700"/>
    <n v="71428.571429999996"/>
    <n v="50000000"/>
    <s v="Family Receipt, Deed of Assignment"/>
    <x v="2"/>
    <x v="0"/>
  </r>
  <r>
    <s v="OG30"/>
    <s v="Queens Land Estate"/>
    <x v="11"/>
    <s v="Atan-Ota"/>
    <s v="2 Bedroom Apartment"/>
    <x v="1"/>
    <m/>
    <m/>
    <n v="32500000"/>
    <s v="C of O"/>
    <x v="0"/>
    <x v="2"/>
  </r>
  <r>
    <s v="OG31"/>
    <s v="Queens Land Estate"/>
    <x v="11"/>
    <s v="Atan-Ota"/>
    <s v="Land"/>
    <x v="0"/>
    <n v="600"/>
    <n v="10000"/>
    <n v="6000000"/>
    <s v="C of O"/>
    <x v="0"/>
    <x v="1"/>
  </r>
  <r>
    <s v="OG32"/>
    <s v="Queens Land Estate"/>
    <x v="11"/>
    <s v="Atan-Ota"/>
    <s v="Land"/>
    <x v="0"/>
    <n v="300"/>
    <n v="10000"/>
    <n v="3000000"/>
    <s v="C of O"/>
    <x v="0"/>
    <x v="1"/>
  </r>
  <r>
    <s v="OG33"/>
    <s v="Residential Land"/>
    <x v="0"/>
    <s v="Mowe-Ofada"/>
    <s v="Land"/>
    <x v="0"/>
    <n v="500"/>
    <n v="14000"/>
    <n v="7000000"/>
    <s v="C of O"/>
    <x v="0"/>
    <x v="1"/>
  </r>
  <r>
    <s v="OG34"/>
    <s v="Bluestone Estate"/>
    <x v="0"/>
    <s v="Mowe-Ofada"/>
    <s v="3 Bedroom Apartment with BQ"/>
    <x v="1"/>
    <n v="600"/>
    <n v="113333.3333"/>
    <n v="68000000"/>
    <s v="Unspecified"/>
    <x v="1"/>
    <x v="0"/>
  </r>
  <r>
    <s v="OG35"/>
    <s v="Twin Storey Building"/>
    <x v="10"/>
    <s v="Berger–Arepo"/>
    <s v="3 Bedroom units, 2 Bedroom Apartment (4 Units)"/>
    <x v="1"/>
    <n v="614"/>
    <n v="228013.02929999999"/>
    <n v="140000000"/>
    <s v="Deed of Assignments, Survey, Payment Recipts"/>
    <x v="2"/>
    <x v="0"/>
  </r>
  <r>
    <s v="OG36"/>
    <s v="Institutional Property"/>
    <x v="3"/>
    <s v="Shimawa"/>
    <s v="Plaza/Commercial Complex"/>
    <x v="2"/>
    <n v="1022"/>
    <n v="440313.1115"/>
    <n v="450000000"/>
    <s v="Unspecified"/>
    <x v="1"/>
    <x v="0"/>
  </r>
  <r>
    <s v="OG37"/>
    <s v="Big Shopping Complex"/>
    <x v="13"/>
    <s v="Ifo"/>
    <s v="Plaza/Commercial Complex"/>
    <x v="2"/>
    <n v="1544"/>
    <n v="246113.9896"/>
    <n v="380000000"/>
    <s v="Reciept, Survey, Deed of Asssignment"/>
    <x v="2"/>
    <x v="0"/>
  </r>
  <r>
    <s v="OG38"/>
    <s v="Lounge ,Bar and Apartment"/>
    <x v="14"/>
    <s v="Ibafo"/>
    <s v="2 Bedroom Apartment (3 units),1 Mini Flat"/>
    <x v="2"/>
    <n v="700"/>
    <n v="857142.85710000002"/>
    <n v="600000000"/>
    <s v="C of O"/>
    <x v="0"/>
    <x v="0"/>
  </r>
  <r>
    <s v="OG39"/>
    <s v="Agbara Estate"/>
    <x v="11"/>
    <s v="Ado-Odo/Ota"/>
    <s v="Land"/>
    <x v="0"/>
    <n v="1263"/>
    <n v="118764.8456"/>
    <n v="150000000"/>
    <s v="C of O"/>
    <x v="0"/>
    <x v="0"/>
  </r>
  <r>
    <s v="OG40"/>
    <s v="Detached Bungalows"/>
    <x v="15"/>
    <s v="Magodo"/>
    <s v="4 Bedroom Apartment"/>
    <x v="1"/>
    <m/>
    <m/>
    <n v="65000000"/>
    <s v="Unspecified"/>
    <x v="1"/>
    <x v="1"/>
  </r>
  <r>
    <s v="OG41"/>
    <s v="Agbara Estate"/>
    <x v="11"/>
    <s v="Ado-Odo/Ota"/>
    <s v="Land"/>
    <x v="0"/>
    <n v="1263"/>
    <n v="118764.8456"/>
    <n v="150000000"/>
    <s v="C of O"/>
    <x v="0"/>
    <x v="0"/>
  </r>
  <r>
    <s v="OG42"/>
    <s v="Spark Light"/>
    <x v="15"/>
    <s v="Magodo"/>
    <s v="3 Bedroom Apartment, 2 Bedroom Apartment with BQ"/>
    <x v="1"/>
    <m/>
    <m/>
    <n v="65000000"/>
    <s v="C of O"/>
    <x v="0"/>
    <x v="2"/>
  </r>
  <r>
    <s v="OG43"/>
    <s v="Journalist Estate"/>
    <x v="10"/>
    <s v="Berger–Arepo"/>
    <s v="4 Bedroom Duplex"/>
    <x v="1"/>
    <m/>
    <m/>
    <n v="175000000"/>
    <s v="C of O"/>
    <x v="0"/>
    <x v="2"/>
  </r>
  <r>
    <s v="OG44"/>
    <s v="Journalist Estate"/>
    <x v="10"/>
    <s v="Berger–Arepo"/>
    <s v="3 Bedroom Duplex, Lounge with BQ"/>
    <x v="1"/>
    <m/>
    <m/>
    <n v="110000000"/>
    <s v="Reciept, Survey, Allocation letter"/>
    <x v="2"/>
    <x v="2"/>
  </r>
  <r>
    <s v="OG45"/>
    <s v="Forthnight Garden Estate"/>
    <x v="10"/>
    <s v="Berger–Arepo"/>
    <s v="5 Bedroom Detached House (All Rooms Ensuite)"/>
    <x v="1"/>
    <m/>
    <m/>
    <n v="200000000"/>
    <s v="C of O"/>
    <x v="0"/>
    <x v="2"/>
  </r>
  <r>
    <s v="OG46"/>
    <s v="Forthnight Garden Estate"/>
    <x v="10"/>
    <s v="Berger–Arepo"/>
    <s v="4 Bedroom Semi-Detached"/>
    <x v="1"/>
    <m/>
    <m/>
    <n v="190000000"/>
    <s v="C of O"/>
    <x v="0"/>
    <x v="2"/>
  </r>
  <r>
    <s v="OG47"/>
    <s v="T.A Gardens"/>
    <x v="10"/>
    <s v="Berger–Arepo"/>
    <s v="4 Bedroom Newly Built Terraced House"/>
    <x v="1"/>
    <m/>
    <m/>
    <n v="180000000"/>
    <s v="Unspecified"/>
    <x v="1"/>
    <x v="2"/>
  </r>
  <r>
    <s v="OG48"/>
    <s v="T.A Gardens"/>
    <x v="10"/>
    <s v="Berger–Arepo"/>
    <s v="4 Bedroom Newly Built with 2 Bedroom BQ"/>
    <x v="1"/>
    <m/>
    <m/>
    <n v="330000000"/>
    <s v="Unspecified"/>
    <x v="1"/>
    <x v="2"/>
  </r>
  <r>
    <s v="OG49"/>
    <s v="Journalist Estate"/>
    <x v="10"/>
    <s v="Berger–Arepo"/>
    <s v="Land"/>
    <x v="0"/>
    <n v="648"/>
    <n v="200617.28400000001"/>
    <n v="130000000"/>
    <s v="Deed of Assignment, Survey, Allocation Letter"/>
    <x v="2"/>
    <x v="0"/>
  </r>
  <r>
    <s v="OG50"/>
    <s v="Residential Land"/>
    <x v="10"/>
    <s v="Berger–Arepo"/>
    <s v="Land"/>
    <x v="0"/>
    <n v="521"/>
    <n v="143953.93470000001"/>
    <n v="75000000"/>
    <s v="Reciept, Survey, Deed of Asssignment"/>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5C69B-4365-44F0-8661-19036CDF8923}" name="PivotTable14" cacheId="2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Location" colHeaderCaption="Title Risk Level">
  <location ref="P2:S19" firstHeaderRow="1" firstDataRow="2" firstDataCol="1"/>
  <pivotFields count="12">
    <pivotField dataField="1" showAll="0"/>
    <pivotField showAll="0"/>
    <pivotField axis="axisRow" showAll="0" sortType="descending">
      <items count="17">
        <item x="11"/>
        <item x="12"/>
        <item x="13"/>
        <item x="8"/>
        <item x="10"/>
        <item x="2"/>
        <item x="5"/>
        <item x="14"/>
        <item x="6"/>
        <item x="15"/>
        <item x="0"/>
        <item x="7"/>
        <item x="9"/>
        <item x="4"/>
        <item x="3"/>
        <item x="1"/>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items count="4">
        <item x="2"/>
        <item x="0"/>
        <item x="1"/>
        <item t="default"/>
      </items>
    </pivotField>
    <pivotField showAll="0"/>
    <pivotField showAll="0"/>
    <pivotField numFmtId="3" showAll="0"/>
    <pivotField showAll="0"/>
    <pivotField axis="axisCol" showAll="0">
      <items count="4">
        <item x="1"/>
        <item x="0"/>
        <item x="2"/>
        <item t="default"/>
      </items>
    </pivotField>
    <pivotField showAll="0"/>
  </pivotFields>
  <rowFields count="1">
    <field x="2"/>
  </rowFields>
  <rowItems count="16">
    <i>
      <x/>
    </i>
    <i>
      <x v="10"/>
    </i>
    <i>
      <x v="4"/>
    </i>
    <i>
      <x v="11"/>
    </i>
    <i>
      <x v="3"/>
    </i>
    <i>
      <x v="8"/>
    </i>
    <i>
      <x v="12"/>
    </i>
    <i>
      <x v="9"/>
    </i>
    <i>
      <x v="13"/>
    </i>
    <i>
      <x v="6"/>
    </i>
    <i>
      <x v="14"/>
    </i>
    <i>
      <x v="7"/>
    </i>
    <i>
      <x v="15"/>
    </i>
    <i>
      <x v="5"/>
    </i>
    <i>
      <x v="1"/>
    </i>
    <i>
      <x v="2"/>
    </i>
  </rowItems>
  <colFields count="1">
    <field x="10"/>
  </colFields>
  <colItems count="3">
    <i>
      <x/>
    </i>
    <i>
      <x v="1"/>
    </i>
    <i>
      <x v="2"/>
    </i>
  </colItems>
  <dataFields count="1">
    <dataField name="Number of properties" fld="0" subtotal="count" baseField="0" baseItem="0"/>
  </dataFields>
  <chartFormats count="3">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1DF7C-391B-4978-A796-06D2EEDEBC98}" name="PivotTable1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Location">
  <location ref="M2:N19" firstHeaderRow="1" firstDataRow="1" firstDataCol="1"/>
  <pivotFields count="11">
    <pivotField showAll="0"/>
    <pivotField showAll="0"/>
    <pivotField axis="axisRow" showAll="0" sortType="descending">
      <items count="17">
        <item x="11"/>
        <item x="12"/>
        <item x="13"/>
        <item x="8"/>
        <item x="10"/>
        <item x="2"/>
        <item x="5"/>
        <item x="14"/>
        <item x="6"/>
        <item x="15"/>
        <item x="0"/>
        <item x="7"/>
        <item x="9"/>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3" showAll="0"/>
    <pivotField showAll="0"/>
    <pivotField showAll="0"/>
  </pivotFields>
  <rowFields count="1">
    <field x="2"/>
  </rowFields>
  <rowItems count="17">
    <i>
      <x v="7"/>
    </i>
    <i>
      <x v="2"/>
    </i>
    <i>
      <x v="4"/>
    </i>
    <i>
      <x v="14"/>
    </i>
    <i>
      <x/>
    </i>
    <i>
      <x v="9"/>
    </i>
    <i>
      <x v="1"/>
    </i>
    <i>
      <x v="8"/>
    </i>
    <i>
      <x v="10"/>
    </i>
    <i>
      <x v="13"/>
    </i>
    <i>
      <x v="11"/>
    </i>
    <i>
      <x v="5"/>
    </i>
    <i>
      <x v="6"/>
    </i>
    <i>
      <x v="3"/>
    </i>
    <i>
      <x v="12"/>
    </i>
    <i>
      <x v="15"/>
    </i>
    <i t="grand">
      <x/>
    </i>
  </rowItems>
  <colItems count="1">
    <i/>
  </colItems>
  <dataFields count="1">
    <dataField name="Average of Price" fld="8" subtotal="average" baseField="2"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10FC8D-0F03-430E-B598-52610226B0E4}" name="PivotTable12"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perty_Category">
  <location ref="J14:K18" firstHeaderRow="1" firstDataRow="1" firstDataCol="1"/>
  <pivotFields count="12">
    <pivotField dataField="1" showAll="0"/>
    <pivotField showAll="0"/>
    <pivotField showAll="0">
      <items count="17">
        <item x="11"/>
        <item x="12"/>
        <item x="13"/>
        <item x="8"/>
        <item x="10"/>
        <item x="2"/>
        <item x="5"/>
        <item x="14"/>
        <item x="6"/>
        <item x="15"/>
        <item x="0"/>
        <item x="7"/>
        <item x="9"/>
        <item x="4"/>
        <item x="3"/>
        <item x="1"/>
        <item t="default"/>
      </items>
    </pivotField>
    <pivotField showAll="0"/>
    <pivotField showAll="0"/>
    <pivotField axis="axisRow" showAll="0">
      <items count="4">
        <item x="2"/>
        <item x="0"/>
        <item x="1"/>
        <item t="default"/>
      </items>
    </pivotField>
    <pivotField showAll="0"/>
    <pivotField showAll="0"/>
    <pivotField numFmtId="3" showAll="0"/>
    <pivotField showAll="0"/>
    <pivotField showAll="0">
      <items count="4">
        <item x="1"/>
        <item x="0"/>
        <item x="2"/>
        <item t="default"/>
      </items>
    </pivotField>
    <pivotField showAll="0"/>
  </pivotFields>
  <rowFields count="1">
    <field x="5"/>
  </rowFields>
  <rowItems count="4">
    <i>
      <x/>
    </i>
    <i>
      <x v="1"/>
    </i>
    <i>
      <x v="2"/>
    </i>
    <i t="grand">
      <x/>
    </i>
  </rowItems>
  <colItems count="1">
    <i/>
  </colItems>
  <dataFields count="1">
    <dataField name="Number of Properties"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62FA4-E7BE-4EB9-B7F6-DE513D3AA112}" name="PivotTable11"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Title_Risk_Level">
  <location ref="J8:K12" firstHeaderRow="1" firstDataRow="1" firstDataCol="1"/>
  <pivotFields count="12">
    <pivotField dataField="1" showAll="0"/>
    <pivotField showAll="0"/>
    <pivotField showAll="0">
      <items count="17">
        <item x="11"/>
        <item x="12"/>
        <item x="13"/>
        <item x="8"/>
        <item x="10"/>
        <item x="2"/>
        <item x="5"/>
        <item x="14"/>
        <item x="6"/>
        <item x="15"/>
        <item x="0"/>
        <item x="7"/>
        <item x="9"/>
        <item x="4"/>
        <item x="3"/>
        <item x="1"/>
        <item t="default"/>
      </items>
    </pivotField>
    <pivotField showAll="0"/>
    <pivotField showAll="0"/>
    <pivotField showAll="0">
      <items count="4">
        <item x="2"/>
        <item x="0"/>
        <item x="1"/>
        <item t="default"/>
      </items>
    </pivotField>
    <pivotField showAll="0"/>
    <pivotField showAll="0"/>
    <pivotField numFmtId="3" showAll="0"/>
    <pivotField showAll="0"/>
    <pivotField axis="axisRow" showAll="0">
      <items count="4">
        <item x="1"/>
        <item x="0"/>
        <item x="2"/>
        <item t="default"/>
      </items>
    </pivotField>
    <pivotField showAll="0"/>
  </pivotFields>
  <rowFields count="1">
    <field x="10"/>
  </rowFields>
  <rowItems count="4">
    <i>
      <x/>
    </i>
    <i>
      <x v="1"/>
    </i>
    <i>
      <x v="2"/>
    </i>
    <i t="grand">
      <x/>
    </i>
  </rowItems>
  <colItems count="1">
    <i/>
  </colItems>
  <dataFields count="1">
    <dataField name="Number of Properties"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0713D-483C-4E7C-A310-9C54E72DCBA9}" name="PivotTable10"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ARKET_SEGMENT">
  <location ref="J2:K6" firstHeaderRow="1" firstDataRow="1" firstDataCol="1"/>
  <pivotFields count="12">
    <pivotField dataField="1" showAll="0"/>
    <pivotField showAll="0"/>
    <pivotField showAll="0">
      <items count="17">
        <item x="11"/>
        <item x="12"/>
        <item x="13"/>
        <item x="8"/>
        <item x="10"/>
        <item x="2"/>
        <item x="5"/>
        <item x="14"/>
        <item x="6"/>
        <item x="15"/>
        <item x="0"/>
        <item x="7"/>
        <item x="9"/>
        <item x="4"/>
        <item x="3"/>
        <item x="1"/>
        <item t="default"/>
      </items>
    </pivotField>
    <pivotField showAll="0"/>
    <pivotField showAll="0"/>
    <pivotField showAll="0">
      <items count="4">
        <item x="2"/>
        <item x="0"/>
        <item x="1"/>
        <item t="default"/>
      </items>
    </pivotField>
    <pivotField showAll="0"/>
    <pivotField showAll="0"/>
    <pivotField numFmtId="3" showAll="0"/>
    <pivotField showAll="0"/>
    <pivotField showAll="0">
      <items count="4">
        <item x="1"/>
        <item x="0"/>
        <item x="2"/>
        <item t="default"/>
      </items>
    </pivotField>
    <pivotField axis="axisRow" showAll="0">
      <items count="4">
        <item x="1"/>
        <item x="2"/>
        <item x="0"/>
        <item t="default"/>
      </items>
    </pivotField>
  </pivotFields>
  <rowFields count="1">
    <field x="11"/>
  </rowFields>
  <rowItems count="4">
    <i>
      <x/>
    </i>
    <i>
      <x v="1"/>
    </i>
    <i>
      <x v="2"/>
    </i>
    <i t="grand">
      <x/>
    </i>
  </rowItems>
  <colItems count="1">
    <i/>
  </colItems>
  <dataFields count="1">
    <dataField name="Number of Properties"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578D1D-754C-4994-8FF7-91F1D207ADE9}" name="PivotTable9"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Location">
  <location ref="G2:H19" firstHeaderRow="1" firstDataRow="1" firstDataCol="1"/>
  <pivotFields count="12">
    <pivotField dataField="1" showAll="0"/>
    <pivotField showAll="0"/>
    <pivotField axis="axisRow" showAll="0" sortType="descending">
      <items count="17">
        <item x="11"/>
        <item x="12"/>
        <item x="13"/>
        <item x="8"/>
        <item x="10"/>
        <item x="2"/>
        <item x="5"/>
        <item x="14"/>
        <item x="6"/>
        <item x="15"/>
        <item x="0"/>
        <item x="7"/>
        <item x="9"/>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pivotField numFmtId="3" showAll="0"/>
    <pivotField showAll="0"/>
    <pivotField showAll="0">
      <items count="4">
        <item x="1"/>
        <item x="0"/>
        <item x="2"/>
        <item t="default"/>
      </items>
    </pivotField>
    <pivotField showAll="0"/>
  </pivotFields>
  <rowFields count="1">
    <field x="2"/>
  </rowFields>
  <rowItems count="17">
    <i>
      <x v="4"/>
    </i>
    <i>
      <x v="10"/>
    </i>
    <i>
      <x/>
    </i>
    <i>
      <x v="8"/>
    </i>
    <i>
      <x v="14"/>
    </i>
    <i>
      <x v="3"/>
    </i>
    <i>
      <x v="11"/>
    </i>
    <i>
      <x v="5"/>
    </i>
    <i>
      <x v="6"/>
    </i>
    <i>
      <x v="9"/>
    </i>
    <i>
      <x v="13"/>
    </i>
    <i>
      <x v="2"/>
    </i>
    <i>
      <x v="1"/>
    </i>
    <i>
      <x v="15"/>
    </i>
    <i>
      <x v="12"/>
    </i>
    <i>
      <x v="7"/>
    </i>
    <i t="grand">
      <x/>
    </i>
  </rowItems>
  <colItems count="1">
    <i/>
  </colItems>
  <dataFields count="1">
    <dataField name="Number of Propertie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6BF939-1813-4285-B54E-B5A8665D87A3}" name="PivotTable7"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E9" firstHeaderRow="1" firstDataRow="1" firstDataCol="0"/>
  <pivotFields count="12">
    <pivotField showAll="0"/>
    <pivotField showAll="0"/>
    <pivotField showAll="0">
      <items count="17">
        <item x="11"/>
        <item x="12"/>
        <item x="13"/>
        <item x="8"/>
        <item x="10"/>
        <item x="2"/>
        <item x="5"/>
        <item x="14"/>
        <item x="6"/>
        <item x="15"/>
        <item x="0"/>
        <item x="7"/>
        <item x="9"/>
        <item x="4"/>
        <item x="3"/>
        <item x="1"/>
        <item t="default"/>
      </items>
    </pivotField>
    <pivotField showAll="0"/>
    <pivotField showAll="0"/>
    <pivotField showAll="0">
      <items count="4">
        <item x="2"/>
        <item x="0"/>
        <item x="1"/>
        <item t="default"/>
      </items>
    </pivotField>
    <pivotField showAll="0"/>
    <pivotField dataField="1" showAll="0"/>
    <pivotField numFmtId="3" showAll="0"/>
    <pivotField showAll="0"/>
    <pivotField showAll="0">
      <items count="4">
        <item x="1"/>
        <item x="0"/>
        <item x="2"/>
        <item t="default"/>
      </items>
    </pivotField>
    <pivotField showAll="0"/>
  </pivotFields>
  <rowItems count="1">
    <i/>
  </rowItems>
  <colItems count="1">
    <i/>
  </colItems>
  <dataFields count="1">
    <dataField name="Average Price Per Sqm" fld="7" subtotal="average" baseField="0" baseItem="9"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8DF379-A06F-4658-81E1-185748085135}" name="PivotTable6"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E6" firstHeaderRow="1" firstDataRow="1" firstDataCol="0"/>
  <pivotFields count="12">
    <pivotField showAll="0"/>
    <pivotField showAll="0"/>
    <pivotField showAll="0">
      <items count="17">
        <item x="11"/>
        <item x="12"/>
        <item x="13"/>
        <item x="8"/>
        <item x="10"/>
        <item x="2"/>
        <item x="5"/>
        <item x="14"/>
        <item x="6"/>
        <item x="15"/>
        <item x="0"/>
        <item x="7"/>
        <item x="9"/>
        <item x="4"/>
        <item x="3"/>
        <item x="1"/>
        <item t="default"/>
      </items>
    </pivotField>
    <pivotField showAll="0"/>
    <pivotField showAll="0"/>
    <pivotField showAll="0">
      <items count="4">
        <item x="2"/>
        <item x="0"/>
        <item x="1"/>
        <item t="default"/>
      </items>
    </pivotField>
    <pivotField showAll="0"/>
    <pivotField showAll="0"/>
    <pivotField dataField="1" numFmtId="3" showAll="0"/>
    <pivotField showAll="0"/>
    <pivotField showAll="0">
      <items count="4">
        <item x="1"/>
        <item x="0"/>
        <item x="2"/>
        <item t="default"/>
      </items>
    </pivotField>
    <pivotField showAll="0"/>
  </pivotFields>
  <rowItems count="1">
    <i/>
  </rowItems>
  <colItems count="1">
    <i/>
  </colItems>
  <dataFields count="1">
    <dataField name="Average Property Price" fld="8" subtotal="average" baseField="0" baseItem="9"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7649E0-8853-4182-ADDC-25BE1B75054C}" name="PivotTable5" cacheId="2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E3" firstHeaderRow="1" firstDataRow="1" firstDataCol="0"/>
  <pivotFields count="12">
    <pivotField showAll="0"/>
    <pivotField showAll="0"/>
    <pivotField showAll="0">
      <items count="17">
        <item x="11"/>
        <item x="12"/>
        <item x="13"/>
        <item x="8"/>
        <item x="10"/>
        <item x="2"/>
        <item x="5"/>
        <item x="14"/>
        <item x="6"/>
        <item x="15"/>
        <item x="0"/>
        <item x="7"/>
        <item x="9"/>
        <item x="4"/>
        <item x="3"/>
        <item x="1"/>
        <item t="default"/>
      </items>
    </pivotField>
    <pivotField showAll="0"/>
    <pivotField showAll="0"/>
    <pivotField showAll="0">
      <items count="4">
        <item x="2"/>
        <item x="0"/>
        <item x="1"/>
        <item t="default"/>
      </items>
    </pivotField>
    <pivotField showAll="0"/>
    <pivotField showAll="0"/>
    <pivotField dataField="1" numFmtId="3" showAll="0"/>
    <pivotField showAll="0"/>
    <pivotField showAll="0">
      <items count="4">
        <item x="1"/>
        <item x="0"/>
        <item x="2"/>
        <item t="default"/>
      </items>
    </pivotField>
    <pivotField showAll="0"/>
  </pivotFields>
  <rowItems count="1">
    <i/>
  </rowItems>
  <colItems count="1">
    <i/>
  </colItems>
  <dataFields count="1">
    <dataField name="Total Property Value" fld="8" baseField="0" baseItem="9"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B7E837-359D-404E-AC6D-6FA13CED6D91}" name="PivotTable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perty_ID">
  <location ref="B2:C53" firstHeaderRow="1" firstDataRow="1" firstDataCol="1"/>
  <pivotFields count="11">
    <pivotField axis="axisRow"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numFmtId="3" showAll="0"/>
    <pivotField showAll="0"/>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_Propert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_Risk_Level" xr10:uid="{E773CAFA-9868-4989-9592-36958BC13B09}" sourceName="Title_Risk_Level">
  <pivotTables>
    <pivotTable tabId="2" name="PivotTable10"/>
    <pivotTable tabId="2" name="PivotTable11"/>
    <pivotTable tabId="2" name="PivotTable12"/>
    <pivotTable tabId="2" name="PivotTable14"/>
    <pivotTable tabId="2" name="PivotTable5"/>
    <pivotTable tabId="2" name="PivotTable6"/>
    <pivotTable tabId="2" name="PivotTable7"/>
    <pivotTable tabId="2" name="PivotTable9"/>
  </pivotTables>
  <data>
    <tabular pivotCacheId="157258196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Category" xr10:uid="{79DE832B-2832-4F20-B764-ADF82CCD0F89}" sourceName="Property_Category">
  <pivotTables>
    <pivotTable tabId="2" name="PivotTable10"/>
    <pivotTable tabId="2" name="PivotTable11"/>
    <pivotTable tabId="2" name="PivotTable12"/>
    <pivotTable tabId="2" name="PivotTable14"/>
    <pivotTable tabId="2" name="PivotTable5"/>
    <pivotTable tabId="2" name="PivotTable6"/>
    <pivotTable tabId="2" name="PivotTable7"/>
    <pivotTable tabId="2" name="PivotTable9"/>
  </pivotTables>
  <data>
    <tabular pivotCacheId="157258196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1DAB302-3CFA-4A54-8572-5D16D8F615D8}" sourceName="Location">
  <pivotTables>
    <pivotTable tabId="2" name="PivotTable10"/>
    <pivotTable tabId="2" name="PivotTable11"/>
    <pivotTable tabId="2" name="PivotTable12"/>
    <pivotTable tabId="2" name="PivotTable14"/>
    <pivotTable tabId="2" name="PivotTable5"/>
    <pivotTable tabId="2" name="PivotTable6"/>
    <pivotTable tabId="2" name="PivotTable7"/>
    <pivotTable tabId="2" name="PivotTable9"/>
  </pivotTables>
  <data>
    <tabular pivotCacheId="1572581963">
      <items count="16">
        <i x="11" s="1"/>
        <i x="12" s="1"/>
        <i x="13" s="1"/>
        <i x="8" s="1"/>
        <i x="10" s="1"/>
        <i x="2" s="1"/>
        <i x="5" s="1"/>
        <i x="14" s="1"/>
        <i x="6" s="1"/>
        <i x="15" s="1"/>
        <i x="0" s="1"/>
        <i x="7" s="1"/>
        <i x="9"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_Risk_Level" xr10:uid="{C290407D-5450-4DEC-9B60-2666E33520D9}" cache="Slicer_Title_Risk_Level" caption="Title_Risk_Level" rowHeight="241300"/>
  <slicer name="Property_Category" xr10:uid="{5EFA473D-CF08-4C5F-B851-6E4970ACC0E0}" cache="Slicer_Property_Category" caption="Property_Category" rowHeight="241300"/>
  <slicer name="Location" xr10:uid="{6198E6F6-BC61-41B4-A794-8BAD17750E0A}" cache="Slicer_Location" caption="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2112-709A-4CC6-8ADA-CDF00A1EA9DC}">
  <dimension ref="A1:L51"/>
  <sheetViews>
    <sheetView workbookViewId="0">
      <selection activeCell="C6" sqref="C6"/>
    </sheetView>
  </sheetViews>
  <sheetFormatPr defaultRowHeight="15" x14ac:dyDescent="0.25"/>
  <cols>
    <col min="1" max="1" width="8.7109375" bestFit="1" customWidth="1"/>
    <col min="2" max="2" width="33.28515625" customWidth="1"/>
    <col min="3" max="3" width="22.140625" customWidth="1"/>
    <col min="4" max="4" width="22.85546875" customWidth="1"/>
    <col min="5" max="5" width="21.5703125" customWidth="1"/>
    <col min="6" max="6" width="12.140625" customWidth="1"/>
    <col min="7" max="7" width="14.5703125" customWidth="1"/>
    <col min="8" max="8" width="11.5703125" bestFit="1" customWidth="1"/>
    <col min="9" max="9" width="11.140625" bestFit="1" customWidth="1"/>
    <col min="10" max="10" width="20" customWidth="1"/>
    <col min="12" max="12" width="14.42578125" customWidth="1"/>
  </cols>
  <sheetData>
    <row r="1" spans="1:12" ht="39.75" thickBot="1" x14ac:dyDescent="0.3">
      <c r="A1" s="1" t="s">
        <v>0</v>
      </c>
      <c r="B1" s="2" t="s">
        <v>1</v>
      </c>
      <c r="C1" s="2" t="s">
        <v>2</v>
      </c>
      <c r="D1" s="2" t="s">
        <v>3</v>
      </c>
      <c r="E1" s="2" t="s">
        <v>4</v>
      </c>
      <c r="F1" s="2" t="s">
        <v>5</v>
      </c>
      <c r="G1" s="2" t="s">
        <v>6</v>
      </c>
      <c r="H1" s="2" t="s">
        <v>7</v>
      </c>
      <c r="I1" s="2" t="s">
        <v>8</v>
      </c>
      <c r="J1" s="2" t="s">
        <v>9</v>
      </c>
      <c r="K1" s="2" t="s">
        <v>10</v>
      </c>
      <c r="L1" s="3" t="s">
        <v>11</v>
      </c>
    </row>
    <row r="2" spans="1:12" ht="27" thickBot="1" x14ac:dyDescent="0.3">
      <c r="A2" s="4" t="s">
        <v>12</v>
      </c>
      <c r="B2" s="4" t="s">
        <v>13</v>
      </c>
      <c r="C2" s="4" t="s">
        <v>14</v>
      </c>
      <c r="D2" s="4" t="s">
        <v>15</v>
      </c>
      <c r="E2" s="4" t="s">
        <v>16</v>
      </c>
      <c r="F2" s="4" t="s">
        <v>16</v>
      </c>
      <c r="G2" s="5">
        <v>500</v>
      </c>
      <c r="H2" s="5">
        <v>40000</v>
      </c>
      <c r="I2" s="6">
        <v>20000000</v>
      </c>
      <c r="J2" s="4" t="s">
        <v>17</v>
      </c>
      <c r="K2" s="4" t="s">
        <v>18</v>
      </c>
      <c r="L2" s="4" t="s">
        <v>19</v>
      </c>
    </row>
    <row r="3" spans="1:12" ht="39.75" thickBot="1" x14ac:dyDescent="0.3">
      <c r="A3" s="4" t="s">
        <v>20</v>
      </c>
      <c r="B3" s="4" t="s">
        <v>21</v>
      </c>
      <c r="C3" s="7" t="s">
        <v>22</v>
      </c>
      <c r="D3" s="8"/>
      <c r="E3" s="4" t="s">
        <v>16</v>
      </c>
      <c r="F3" s="4" t="s">
        <v>16</v>
      </c>
      <c r="G3" s="5">
        <v>500</v>
      </c>
      <c r="H3" s="5">
        <v>7500</v>
      </c>
      <c r="I3" s="6">
        <v>3750000</v>
      </c>
      <c r="J3" s="9" t="s">
        <v>23</v>
      </c>
      <c r="K3" s="4" t="s">
        <v>24</v>
      </c>
      <c r="L3" s="4" t="s">
        <v>25</v>
      </c>
    </row>
    <row r="4" spans="1:12" ht="46.5" thickBot="1" x14ac:dyDescent="0.3">
      <c r="A4" s="4" t="s">
        <v>26</v>
      </c>
      <c r="B4" s="10" t="s">
        <v>27</v>
      </c>
      <c r="C4" s="10" t="s">
        <v>14</v>
      </c>
      <c r="D4" s="10" t="s">
        <v>15</v>
      </c>
      <c r="E4" s="4" t="s">
        <v>16</v>
      </c>
      <c r="F4" s="4" t="s">
        <v>16</v>
      </c>
      <c r="G4" s="5">
        <v>500</v>
      </c>
      <c r="H4" s="5">
        <v>11000</v>
      </c>
      <c r="I4" s="6">
        <v>5500000</v>
      </c>
      <c r="J4" s="10" t="s">
        <v>28</v>
      </c>
      <c r="K4" s="4" t="s">
        <v>29</v>
      </c>
      <c r="L4" s="4" t="s">
        <v>25</v>
      </c>
    </row>
    <row r="5" spans="1:12" ht="44.25" thickBot="1" x14ac:dyDescent="0.3">
      <c r="A5" s="4" t="s">
        <v>30</v>
      </c>
      <c r="B5" s="11" t="s">
        <v>31</v>
      </c>
      <c r="C5" s="7" t="s">
        <v>14</v>
      </c>
      <c r="D5" s="10" t="s">
        <v>15</v>
      </c>
      <c r="E5" s="4" t="s">
        <v>16</v>
      </c>
      <c r="F5" s="4" t="s">
        <v>16</v>
      </c>
      <c r="G5" s="5">
        <v>500</v>
      </c>
      <c r="H5" s="5">
        <v>14000</v>
      </c>
      <c r="I5" s="6">
        <v>7000000</v>
      </c>
      <c r="J5" s="10" t="s">
        <v>17</v>
      </c>
      <c r="K5" s="4" t="s">
        <v>18</v>
      </c>
      <c r="L5" s="4" t="s">
        <v>25</v>
      </c>
    </row>
    <row r="6" spans="1:12" ht="44.25" thickBot="1" x14ac:dyDescent="0.3">
      <c r="A6" s="4" t="s">
        <v>32</v>
      </c>
      <c r="B6" s="11" t="s">
        <v>31</v>
      </c>
      <c r="C6" s="7" t="s">
        <v>14</v>
      </c>
      <c r="D6" s="10" t="s">
        <v>15</v>
      </c>
      <c r="E6" s="4" t="s">
        <v>16</v>
      </c>
      <c r="F6" s="4" t="s">
        <v>16</v>
      </c>
      <c r="G6" s="5">
        <v>300</v>
      </c>
      <c r="H6" s="5">
        <v>15000</v>
      </c>
      <c r="I6" s="6">
        <v>4500000</v>
      </c>
      <c r="J6" s="4" t="s">
        <v>17</v>
      </c>
      <c r="K6" s="4" t="s">
        <v>18</v>
      </c>
      <c r="L6" s="4" t="s">
        <v>25</v>
      </c>
    </row>
    <row r="7" spans="1:12" ht="83.25" thickBot="1" x14ac:dyDescent="0.35">
      <c r="A7" s="4" t="s">
        <v>33</v>
      </c>
      <c r="B7" s="4" t="s">
        <v>34</v>
      </c>
      <c r="C7" s="12" t="s">
        <v>35</v>
      </c>
      <c r="D7" s="8"/>
      <c r="E7" s="4" t="s">
        <v>16</v>
      </c>
      <c r="F7" s="4" t="s">
        <v>16</v>
      </c>
      <c r="G7" s="5">
        <v>500</v>
      </c>
      <c r="H7" s="5">
        <v>24000</v>
      </c>
      <c r="I7" s="6">
        <v>12000000</v>
      </c>
      <c r="J7" s="12" t="s">
        <v>36</v>
      </c>
      <c r="K7" s="4" t="s">
        <v>24</v>
      </c>
      <c r="L7" s="4" t="s">
        <v>19</v>
      </c>
    </row>
    <row r="8" spans="1:12" ht="33.75" thickBot="1" x14ac:dyDescent="0.35">
      <c r="A8" s="4" t="s">
        <v>37</v>
      </c>
      <c r="B8" s="7" t="s">
        <v>38</v>
      </c>
      <c r="C8" s="7" t="s">
        <v>14</v>
      </c>
      <c r="D8" s="7" t="s">
        <v>15</v>
      </c>
      <c r="E8" s="4" t="s">
        <v>16</v>
      </c>
      <c r="F8" s="4" t="s">
        <v>16</v>
      </c>
      <c r="G8" s="5">
        <v>500</v>
      </c>
      <c r="H8" s="5">
        <v>13400</v>
      </c>
      <c r="I8" s="6">
        <v>6700000</v>
      </c>
      <c r="J8" s="12" t="s">
        <v>23</v>
      </c>
      <c r="K8" s="4" t="s">
        <v>24</v>
      </c>
      <c r="L8" s="4" t="s">
        <v>25</v>
      </c>
    </row>
    <row r="9" spans="1:12" ht="45" thickBot="1" x14ac:dyDescent="0.35">
      <c r="A9" s="4" t="s">
        <v>39</v>
      </c>
      <c r="B9" s="11" t="s">
        <v>40</v>
      </c>
      <c r="C9" s="7" t="s">
        <v>41</v>
      </c>
      <c r="D9" s="8" t="s">
        <v>41</v>
      </c>
      <c r="E9" s="4" t="s">
        <v>16</v>
      </c>
      <c r="F9" s="4" t="s">
        <v>16</v>
      </c>
      <c r="G9" s="5">
        <v>500</v>
      </c>
      <c r="H9" s="5">
        <v>50000</v>
      </c>
      <c r="I9" s="6">
        <v>25000000</v>
      </c>
      <c r="J9" s="12" t="s">
        <v>17</v>
      </c>
      <c r="K9" s="4" t="s">
        <v>18</v>
      </c>
      <c r="L9" s="4" t="s">
        <v>19</v>
      </c>
    </row>
    <row r="10" spans="1:12" ht="30.75" thickBot="1" x14ac:dyDescent="0.35">
      <c r="A10" s="4" t="s">
        <v>42</v>
      </c>
      <c r="B10" s="7" t="s">
        <v>34</v>
      </c>
      <c r="C10" s="7" t="s">
        <v>41</v>
      </c>
      <c r="D10" s="8" t="s">
        <v>41</v>
      </c>
      <c r="E10" s="4" t="s">
        <v>16</v>
      </c>
      <c r="F10" s="4" t="s">
        <v>16</v>
      </c>
      <c r="G10" s="5">
        <v>500</v>
      </c>
      <c r="H10" s="5">
        <v>16000</v>
      </c>
      <c r="I10" s="6">
        <v>8000000</v>
      </c>
      <c r="J10" s="12" t="s">
        <v>43</v>
      </c>
      <c r="K10" s="4" t="s">
        <v>24</v>
      </c>
      <c r="L10" s="4" t="s">
        <v>25</v>
      </c>
    </row>
    <row r="11" spans="1:12" ht="61.5" thickBot="1" x14ac:dyDescent="0.3">
      <c r="A11" s="4" t="s">
        <v>44</v>
      </c>
      <c r="B11" s="11" t="s">
        <v>45</v>
      </c>
      <c r="C11" s="7" t="s">
        <v>46</v>
      </c>
      <c r="D11" s="7" t="s">
        <v>47</v>
      </c>
      <c r="E11" s="4" t="s">
        <v>16</v>
      </c>
      <c r="F11" s="4" t="s">
        <v>16</v>
      </c>
      <c r="G11" s="5">
        <v>500</v>
      </c>
      <c r="H11" s="5">
        <v>36000</v>
      </c>
      <c r="I11" s="6">
        <v>18000000</v>
      </c>
      <c r="J11" s="10" t="s">
        <v>48</v>
      </c>
      <c r="K11" s="4" t="s">
        <v>18</v>
      </c>
      <c r="L11" s="4" t="s">
        <v>19</v>
      </c>
    </row>
    <row r="12" spans="1:12" ht="99.75" thickBot="1" x14ac:dyDescent="0.35">
      <c r="A12" s="4" t="s">
        <v>49</v>
      </c>
      <c r="B12" s="12" t="s">
        <v>50</v>
      </c>
      <c r="C12" s="4" t="s">
        <v>51</v>
      </c>
      <c r="D12" s="7" t="s">
        <v>52</v>
      </c>
      <c r="E12" s="4" t="s">
        <v>16</v>
      </c>
      <c r="F12" s="4" t="s">
        <v>16</v>
      </c>
      <c r="G12" s="5">
        <v>600</v>
      </c>
      <c r="H12" s="5">
        <v>9333.3333330000005</v>
      </c>
      <c r="I12" s="6">
        <v>5600000</v>
      </c>
      <c r="J12" s="4" t="s">
        <v>23</v>
      </c>
      <c r="K12" s="4" t="s">
        <v>24</v>
      </c>
      <c r="L12" s="4" t="s">
        <v>25</v>
      </c>
    </row>
    <row r="13" spans="1:12" ht="99.75" thickBot="1" x14ac:dyDescent="0.35">
      <c r="A13" s="4" t="s">
        <v>53</v>
      </c>
      <c r="B13" s="12" t="s">
        <v>54</v>
      </c>
      <c r="C13" s="4" t="s">
        <v>51</v>
      </c>
      <c r="D13" s="7" t="s">
        <v>52</v>
      </c>
      <c r="E13" s="4" t="s">
        <v>16</v>
      </c>
      <c r="F13" s="4" t="s">
        <v>16</v>
      </c>
      <c r="G13" s="5">
        <v>600</v>
      </c>
      <c r="H13" s="5">
        <v>8333.3333330000005</v>
      </c>
      <c r="I13" s="6">
        <v>5000000</v>
      </c>
      <c r="J13" s="4" t="s">
        <v>48</v>
      </c>
      <c r="K13" s="4" t="s">
        <v>18</v>
      </c>
      <c r="L13" s="4" t="s">
        <v>25</v>
      </c>
    </row>
    <row r="14" spans="1:12" ht="33.75" thickBot="1" x14ac:dyDescent="0.35">
      <c r="A14" s="4" t="s">
        <v>55</v>
      </c>
      <c r="B14" s="12" t="s">
        <v>56</v>
      </c>
      <c r="C14" s="4" t="s">
        <v>57</v>
      </c>
      <c r="D14" s="4" t="s">
        <v>57</v>
      </c>
      <c r="E14" s="4" t="s">
        <v>16</v>
      </c>
      <c r="F14" s="4" t="s">
        <v>16</v>
      </c>
      <c r="G14" s="5">
        <v>500</v>
      </c>
      <c r="H14" s="5">
        <v>8000</v>
      </c>
      <c r="I14" s="6">
        <v>4000000</v>
      </c>
      <c r="J14" s="4" t="s">
        <v>28</v>
      </c>
      <c r="K14" s="4" t="s">
        <v>29</v>
      </c>
      <c r="L14" s="4" t="s">
        <v>25</v>
      </c>
    </row>
    <row r="15" spans="1:12" ht="50.25" thickBot="1" x14ac:dyDescent="0.35">
      <c r="A15" s="4" t="s">
        <v>58</v>
      </c>
      <c r="B15" s="12" t="s">
        <v>59</v>
      </c>
      <c r="C15" s="4" t="s">
        <v>57</v>
      </c>
      <c r="D15" s="4" t="s">
        <v>57</v>
      </c>
      <c r="E15" s="4" t="s">
        <v>16</v>
      </c>
      <c r="F15" s="4" t="s">
        <v>16</v>
      </c>
      <c r="G15" s="5">
        <v>500</v>
      </c>
      <c r="H15" s="5">
        <v>30000</v>
      </c>
      <c r="I15" s="6">
        <v>15000000</v>
      </c>
      <c r="J15" s="4" t="s">
        <v>17</v>
      </c>
      <c r="K15" s="4" t="s">
        <v>18</v>
      </c>
      <c r="L15" s="4" t="s">
        <v>19</v>
      </c>
    </row>
    <row r="16" spans="1:12" ht="50.25" thickBot="1" x14ac:dyDescent="0.35">
      <c r="A16" s="4" t="s">
        <v>60</v>
      </c>
      <c r="B16" s="12" t="s">
        <v>59</v>
      </c>
      <c r="C16" s="4" t="s">
        <v>57</v>
      </c>
      <c r="D16" s="4" t="s">
        <v>57</v>
      </c>
      <c r="E16" s="4" t="s">
        <v>16</v>
      </c>
      <c r="F16" s="4" t="s">
        <v>16</v>
      </c>
      <c r="G16" s="5">
        <v>250</v>
      </c>
      <c r="H16" s="5">
        <v>30000</v>
      </c>
      <c r="I16" s="6">
        <v>7500000</v>
      </c>
      <c r="J16" s="4" t="s">
        <v>17</v>
      </c>
      <c r="K16" s="4" t="s">
        <v>18</v>
      </c>
      <c r="L16" s="4" t="s">
        <v>19</v>
      </c>
    </row>
    <row r="17" spans="1:12" ht="66" thickBot="1" x14ac:dyDescent="0.35">
      <c r="A17" s="4" t="s">
        <v>61</v>
      </c>
      <c r="B17" s="12" t="s">
        <v>59</v>
      </c>
      <c r="C17" s="4" t="s">
        <v>35</v>
      </c>
      <c r="D17" s="4" t="s">
        <v>62</v>
      </c>
      <c r="E17" s="4" t="s">
        <v>16</v>
      </c>
      <c r="F17" s="4" t="s">
        <v>16</v>
      </c>
      <c r="G17" s="5">
        <v>300</v>
      </c>
      <c r="H17" s="5">
        <v>26666.666669999999</v>
      </c>
      <c r="I17" s="6">
        <v>8000000</v>
      </c>
      <c r="J17" s="4" t="s">
        <v>63</v>
      </c>
      <c r="K17" s="4" t="s">
        <v>29</v>
      </c>
      <c r="L17" s="4" t="s">
        <v>19</v>
      </c>
    </row>
    <row r="18" spans="1:12" ht="39.75" thickBot="1" x14ac:dyDescent="0.3">
      <c r="A18" s="4" t="s">
        <v>64</v>
      </c>
      <c r="B18" s="4" t="s">
        <v>65</v>
      </c>
      <c r="C18" s="4" t="s">
        <v>66</v>
      </c>
      <c r="D18" s="4"/>
      <c r="E18" s="4" t="s">
        <v>16</v>
      </c>
      <c r="F18" s="4" t="s">
        <v>16</v>
      </c>
      <c r="G18" s="5">
        <v>500</v>
      </c>
      <c r="H18" s="5">
        <v>11000</v>
      </c>
      <c r="I18" s="6">
        <v>5500000</v>
      </c>
      <c r="J18" s="4" t="s">
        <v>17</v>
      </c>
      <c r="K18" s="4" t="s">
        <v>18</v>
      </c>
      <c r="L18" s="4" t="s">
        <v>25</v>
      </c>
    </row>
    <row r="19" spans="1:12" ht="39.75" thickBot="1" x14ac:dyDescent="0.3">
      <c r="A19" s="4" t="s">
        <v>67</v>
      </c>
      <c r="B19" s="4" t="s">
        <v>59</v>
      </c>
      <c r="C19" s="4" t="s">
        <v>66</v>
      </c>
      <c r="D19" s="4"/>
      <c r="E19" s="4" t="s">
        <v>16</v>
      </c>
      <c r="F19" s="4" t="s">
        <v>16</v>
      </c>
      <c r="G19" s="5">
        <v>540</v>
      </c>
      <c r="H19" s="5">
        <v>51851.851849999999</v>
      </c>
      <c r="I19" s="6">
        <v>28000000</v>
      </c>
      <c r="J19" s="4" t="s">
        <v>48</v>
      </c>
      <c r="K19" s="4" t="s">
        <v>18</v>
      </c>
      <c r="L19" s="4" t="s">
        <v>19</v>
      </c>
    </row>
    <row r="20" spans="1:12" ht="27" thickBot="1" x14ac:dyDescent="0.3">
      <c r="A20" s="4" t="s">
        <v>68</v>
      </c>
      <c r="B20" s="4" t="s">
        <v>69</v>
      </c>
      <c r="C20" s="4" t="s">
        <v>70</v>
      </c>
      <c r="D20" s="4"/>
      <c r="E20" s="4" t="s">
        <v>16</v>
      </c>
      <c r="F20" s="4" t="s">
        <v>16</v>
      </c>
      <c r="G20" s="5">
        <v>500</v>
      </c>
      <c r="H20" s="5">
        <v>14000</v>
      </c>
      <c r="I20" s="6">
        <v>7000000</v>
      </c>
      <c r="J20" s="4" t="s">
        <v>17</v>
      </c>
      <c r="K20" s="4" t="s">
        <v>18</v>
      </c>
      <c r="L20" s="4" t="s">
        <v>25</v>
      </c>
    </row>
    <row r="21" spans="1:12" ht="27" thickBot="1" x14ac:dyDescent="0.3">
      <c r="A21" s="4" t="s">
        <v>71</v>
      </c>
      <c r="B21" s="4" t="s">
        <v>72</v>
      </c>
      <c r="C21" s="4" t="s">
        <v>70</v>
      </c>
      <c r="D21" s="4"/>
      <c r="E21" s="4" t="s">
        <v>16</v>
      </c>
      <c r="F21" s="4" t="s">
        <v>16</v>
      </c>
      <c r="G21" s="5">
        <v>250</v>
      </c>
      <c r="H21" s="5">
        <v>14000</v>
      </c>
      <c r="I21" s="6">
        <v>3500000</v>
      </c>
      <c r="J21" s="4" t="s">
        <v>17</v>
      </c>
      <c r="K21" s="4" t="s">
        <v>18</v>
      </c>
      <c r="L21" s="4" t="s">
        <v>25</v>
      </c>
    </row>
    <row r="22" spans="1:12" ht="52.5" thickBot="1" x14ac:dyDescent="0.3">
      <c r="A22" s="4" t="s">
        <v>73</v>
      </c>
      <c r="B22" s="4" t="s">
        <v>74</v>
      </c>
      <c r="C22" s="4" t="s">
        <v>14</v>
      </c>
      <c r="D22" s="4" t="s">
        <v>15</v>
      </c>
      <c r="E22" s="4" t="s">
        <v>75</v>
      </c>
      <c r="F22" s="4" t="s">
        <v>76</v>
      </c>
      <c r="G22" s="4"/>
      <c r="H22" s="4"/>
      <c r="I22" s="6">
        <v>60000000</v>
      </c>
      <c r="J22" s="4" t="s">
        <v>17</v>
      </c>
      <c r="K22" s="4" t="s">
        <v>18</v>
      </c>
      <c r="L22" s="4" t="s">
        <v>77</v>
      </c>
    </row>
    <row r="23" spans="1:12" ht="52.5" thickBot="1" x14ac:dyDescent="0.3">
      <c r="A23" s="4" t="s">
        <v>78</v>
      </c>
      <c r="B23" s="4" t="s">
        <v>79</v>
      </c>
      <c r="C23" s="4" t="s">
        <v>14</v>
      </c>
      <c r="D23" s="4" t="s">
        <v>15</v>
      </c>
      <c r="E23" s="4" t="s">
        <v>80</v>
      </c>
      <c r="F23" s="4" t="s">
        <v>76</v>
      </c>
      <c r="G23" s="4"/>
      <c r="H23" s="4"/>
      <c r="I23" s="6">
        <v>47000000</v>
      </c>
      <c r="J23" s="4" t="s">
        <v>17</v>
      </c>
      <c r="K23" s="4" t="s">
        <v>18</v>
      </c>
      <c r="L23" s="4" t="s">
        <v>77</v>
      </c>
    </row>
    <row r="24" spans="1:12" ht="65.25" thickBot="1" x14ac:dyDescent="0.3">
      <c r="A24" s="4" t="s">
        <v>81</v>
      </c>
      <c r="B24" s="4" t="s">
        <v>82</v>
      </c>
      <c r="C24" s="4" t="s">
        <v>57</v>
      </c>
      <c r="D24" s="4" t="s">
        <v>83</v>
      </c>
      <c r="E24" s="4" t="s">
        <v>84</v>
      </c>
      <c r="F24" s="4" t="s">
        <v>76</v>
      </c>
      <c r="G24" s="4"/>
      <c r="H24" s="4"/>
      <c r="I24" s="6">
        <v>170000000</v>
      </c>
      <c r="J24" s="4" t="s">
        <v>85</v>
      </c>
      <c r="K24" s="4" t="s">
        <v>29</v>
      </c>
      <c r="L24" s="4" t="s">
        <v>77</v>
      </c>
    </row>
    <row r="25" spans="1:12" ht="39.75" thickBot="1" x14ac:dyDescent="0.3">
      <c r="A25" s="4" t="s">
        <v>86</v>
      </c>
      <c r="B25" s="4" t="s">
        <v>87</v>
      </c>
      <c r="C25" s="4" t="s">
        <v>88</v>
      </c>
      <c r="D25" s="4" t="s">
        <v>83</v>
      </c>
      <c r="E25" s="4" t="s">
        <v>16</v>
      </c>
      <c r="F25" s="4" t="s">
        <v>16</v>
      </c>
      <c r="G25" s="5">
        <v>460</v>
      </c>
      <c r="H25" s="5">
        <v>10326.086960000001</v>
      </c>
      <c r="I25" s="6">
        <v>4750000</v>
      </c>
      <c r="J25" s="4" t="s">
        <v>89</v>
      </c>
      <c r="K25" s="4" t="s">
        <v>18</v>
      </c>
      <c r="L25" s="4" t="s">
        <v>25</v>
      </c>
    </row>
    <row r="26" spans="1:12" ht="65.25" thickBot="1" x14ac:dyDescent="0.3">
      <c r="A26" s="4" t="s">
        <v>90</v>
      </c>
      <c r="B26" s="4" t="s">
        <v>91</v>
      </c>
      <c r="C26" s="4" t="s">
        <v>92</v>
      </c>
      <c r="D26" s="4" t="s">
        <v>93</v>
      </c>
      <c r="E26" s="4" t="s">
        <v>94</v>
      </c>
      <c r="F26" s="4" t="s">
        <v>76</v>
      </c>
      <c r="G26" s="4"/>
      <c r="H26" s="4"/>
      <c r="I26" s="6">
        <v>180000000</v>
      </c>
      <c r="J26" s="4" t="s">
        <v>23</v>
      </c>
      <c r="K26" s="4" t="s">
        <v>24</v>
      </c>
      <c r="L26" s="4" t="s">
        <v>77</v>
      </c>
    </row>
    <row r="27" spans="1:12" ht="52.5" thickBot="1" x14ac:dyDescent="0.3">
      <c r="A27" s="4" t="s">
        <v>95</v>
      </c>
      <c r="B27" s="4" t="s">
        <v>96</v>
      </c>
      <c r="C27" s="4" t="s">
        <v>92</v>
      </c>
      <c r="D27" s="4" t="s">
        <v>93</v>
      </c>
      <c r="E27" s="4" t="s">
        <v>97</v>
      </c>
      <c r="F27" s="4" t="s">
        <v>76</v>
      </c>
      <c r="G27" s="4"/>
      <c r="H27" s="4"/>
      <c r="I27" s="6">
        <v>250000000</v>
      </c>
      <c r="J27" s="4" t="s">
        <v>17</v>
      </c>
      <c r="K27" s="4" t="s">
        <v>18</v>
      </c>
      <c r="L27" s="4" t="s">
        <v>77</v>
      </c>
    </row>
    <row r="28" spans="1:12" ht="52.5" thickBot="1" x14ac:dyDescent="0.3">
      <c r="A28" s="4" t="s">
        <v>98</v>
      </c>
      <c r="B28" s="4" t="s">
        <v>99</v>
      </c>
      <c r="C28" s="4" t="s">
        <v>92</v>
      </c>
      <c r="D28" s="4" t="s">
        <v>93</v>
      </c>
      <c r="E28" s="4" t="s">
        <v>100</v>
      </c>
      <c r="F28" s="4" t="s">
        <v>76</v>
      </c>
      <c r="G28" s="4"/>
      <c r="H28" s="4"/>
      <c r="I28" s="13">
        <v>180000000</v>
      </c>
      <c r="J28" s="4" t="s">
        <v>17</v>
      </c>
      <c r="K28" s="4" t="s">
        <v>18</v>
      </c>
      <c r="L28" s="4" t="s">
        <v>77</v>
      </c>
    </row>
    <row r="29" spans="1:12" ht="52.5" thickBot="1" x14ac:dyDescent="0.3">
      <c r="A29" s="4" t="s">
        <v>101</v>
      </c>
      <c r="B29" s="4" t="s">
        <v>102</v>
      </c>
      <c r="C29" s="4" t="s">
        <v>103</v>
      </c>
      <c r="D29" s="4" t="s">
        <v>52</v>
      </c>
      <c r="E29" s="4" t="s">
        <v>104</v>
      </c>
      <c r="F29" s="4" t="s">
        <v>76</v>
      </c>
      <c r="G29" s="4"/>
      <c r="H29" s="4"/>
      <c r="I29" s="6">
        <v>60500000</v>
      </c>
      <c r="J29" s="4" t="s">
        <v>17</v>
      </c>
      <c r="K29" s="4" t="s">
        <v>18</v>
      </c>
      <c r="L29" s="4" t="s">
        <v>77</v>
      </c>
    </row>
    <row r="30" spans="1:12" ht="65.25" thickBot="1" x14ac:dyDescent="0.3">
      <c r="A30" s="4" t="s">
        <v>105</v>
      </c>
      <c r="B30" s="4" t="s">
        <v>106</v>
      </c>
      <c r="C30" s="4" t="s">
        <v>107</v>
      </c>
      <c r="D30" s="4" t="s">
        <v>108</v>
      </c>
      <c r="E30" s="4" t="s">
        <v>109</v>
      </c>
      <c r="F30" s="4" t="s">
        <v>76</v>
      </c>
      <c r="G30" s="5">
        <v>700</v>
      </c>
      <c r="H30" s="5">
        <v>71428.571429999996</v>
      </c>
      <c r="I30" s="6">
        <v>50000000</v>
      </c>
      <c r="J30" s="4" t="s">
        <v>63</v>
      </c>
      <c r="K30" s="4" t="s">
        <v>29</v>
      </c>
      <c r="L30" s="4" t="s">
        <v>19</v>
      </c>
    </row>
    <row r="31" spans="1:12" ht="52.5" thickBot="1" x14ac:dyDescent="0.3">
      <c r="A31" s="4" t="s">
        <v>110</v>
      </c>
      <c r="B31" s="4" t="s">
        <v>102</v>
      </c>
      <c r="C31" s="4" t="s">
        <v>103</v>
      </c>
      <c r="D31" s="4" t="s">
        <v>52</v>
      </c>
      <c r="E31" s="4" t="s">
        <v>80</v>
      </c>
      <c r="F31" s="4" t="s">
        <v>76</v>
      </c>
      <c r="G31" s="4"/>
      <c r="H31" s="4"/>
      <c r="I31" s="6">
        <v>32500000</v>
      </c>
      <c r="J31" s="4" t="s">
        <v>17</v>
      </c>
      <c r="K31" s="4" t="s">
        <v>18</v>
      </c>
      <c r="L31" s="4" t="s">
        <v>77</v>
      </c>
    </row>
    <row r="32" spans="1:12" ht="39.75" thickBot="1" x14ac:dyDescent="0.3">
      <c r="A32" s="4" t="s">
        <v>111</v>
      </c>
      <c r="B32" s="4" t="s">
        <v>102</v>
      </c>
      <c r="C32" s="4" t="s">
        <v>103</v>
      </c>
      <c r="D32" s="4" t="s">
        <v>52</v>
      </c>
      <c r="E32" s="4" t="s">
        <v>16</v>
      </c>
      <c r="F32" s="4" t="s">
        <v>16</v>
      </c>
      <c r="G32" s="5">
        <v>600</v>
      </c>
      <c r="H32" s="5">
        <v>10000</v>
      </c>
      <c r="I32" s="6">
        <v>6000000</v>
      </c>
      <c r="J32" s="4" t="s">
        <v>17</v>
      </c>
      <c r="K32" s="4" t="s">
        <v>18</v>
      </c>
      <c r="L32" s="4" t="s">
        <v>25</v>
      </c>
    </row>
    <row r="33" spans="1:12" ht="39.75" thickBot="1" x14ac:dyDescent="0.3">
      <c r="A33" s="4" t="s">
        <v>112</v>
      </c>
      <c r="B33" s="4" t="s">
        <v>102</v>
      </c>
      <c r="C33" s="4" t="s">
        <v>103</v>
      </c>
      <c r="D33" s="4" t="s">
        <v>52</v>
      </c>
      <c r="E33" s="4" t="s">
        <v>16</v>
      </c>
      <c r="F33" s="4" t="s">
        <v>16</v>
      </c>
      <c r="G33" s="5">
        <v>300</v>
      </c>
      <c r="H33" s="5">
        <v>10000</v>
      </c>
      <c r="I33" s="6">
        <v>3000000</v>
      </c>
      <c r="J33" s="4" t="s">
        <v>17</v>
      </c>
      <c r="K33" s="4" t="s">
        <v>18</v>
      </c>
      <c r="L33" s="4" t="s">
        <v>25</v>
      </c>
    </row>
    <row r="34" spans="1:12" ht="27" thickBot="1" x14ac:dyDescent="0.3">
      <c r="A34" s="4" t="s">
        <v>113</v>
      </c>
      <c r="B34" s="4" t="s">
        <v>59</v>
      </c>
      <c r="C34" s="4" t="s">
        <v>14</v>
      </c>
      <c r="D34" s="4" t="s">
        <v>15</v>
      </c>
      <c r="E34" s="4" t="s">
        <v>16</v>
      </c>
      <c r="F34" s="4" t="s">
        <v>16</v>
      </c>
      <c r="G34" s="5">
        <v>500</v>
      </c>
      <c r="H34" s="5">
        <v>14000</v>
      </c>
      <c r="I34" s="6">
        <v>7000000</v>
      </c>
      <c r="J34" s="4" t="s">
        <v>17</v>
      </c>
      <c r="K34" s="4" t="s">
        <v>18</v>
      </c>
      <c r="L34" s="4" t="s">
        <v>25</v>
      </c>
    </row>
    <row r="35" spans="1:12" ht="52.5" thickBot="1" x14ac:dyDescent="0.3">
      <c r="A35" s="4" t="s">
        <v>114</v>
      </c>
      <c r="B35" s="4" t="s">
        <v>115</v>
      </c>
      <c r="C35" s="4" t="s">
        <v>14</v>
      </c>
      <c r="D35" s="4" t="s">
        <v>15</v>
      </c>
      <c r="E35" s="4" t="s">
        <v>116</v>
      </c>
      <c r="F35" s="4" t="s">
        <v>76</v>
      </c>
      <c r="G35" s="5">
        <v>600</v>
      </c>
      <c r="H35" s="5">
        <v>113333.3333</v>
      </c>
      <c r="I35" s="6">
        <v>68000000</v>
      </c>
      <c r="J35" s="4" t="s">
        <v>23</v>
      </c>
      <c r="K35" s="4" t="s">
        <v>24</v>
      </c>
      <c r="L35" s="4" t="s">
        <v>19</v>
      </c>
    </row>
    <row r="36" spans="1:12" ht="78" thickBot="1" x14ac:dyDescent="0.3">
      <c r="A36" s="4" t="s">
        <v>117</v>
      </c>
      <c r="B36" s="4" t="s">
        <v>118</v>
      </c>
      <c r="C36" s="4" t="s">
        <v>92</v>
      </c>
      <c r="D36" s="4" t="s">
        <v>93</v>
      </c>
      <c r="E36" s="4" t="s">
        <v>119</v>
      </c>
      <c r="F36" s="4" t="s">
        <v>76</v>
      </c>
      <c r="G36" s="5">
        <v>614</v>
      </c>
      <c r="H36" s="5">
        <v>228013.02929999999</v>
      </c>
      <c r="I36" s="6">
        <v>140000000</v>
      </c>
      <c r="J36" s="4" t="s">
        <v>120</v>
      </c>
      <c r="K36" s="4" t="s">
        <v>29</v>
      </c>
      <c r="L36" s="4" t="s">
        <v>19</v>
      </c>
    </row>
    <row r="37" spans="1:12" ht="39.75" thickBot="1" x14ac:dyDescent="0.3">
      <c r="A37" s="4" t="s">
        <v>121</v>
      </c>
      <c r="B37" s="4" t="s">
        <v>122</v>
      </c>
      <c r="C37" s="4" t="s">
        <v>41</v>
      </c>
      <c r="D37" s="4" t="s">
        <v>41</v>
      </c>
      <c r="E37" s="4" t="s">
        <v>123</v>
      </c>
      <c r="F37" s="4" t="s">
        <v>124</v>
      </c>
      <c r="G37" s="5">
        <v>1022</v>
      </c>
      <c r="H37" s="5">
        <v>440313.1115</v>
      </c>
      <c r="I37" s="6">
        <v>450000000</v>
      </c>
      <c r="J37" s="4" t="s">
        <v>23</v>
      </c>
      <c r="K37" s="4" t="s">
        <v>24</v>
      </c>
      <c r="L37" s="4" t="s">
        <v>19</v>
      </c>
    </row>
    <row r="38" spans="1:12" ht="65.25" thickBot="1" x14ac:dyDescent="0.3">
      <c r="A38" s="4" t="s">
        <v>125</v>
      </c>
      <c r="B38" s="4" t="s">
        <v>126</v>
      </c>
      <c r="C38" s="4" t="s">
        <v>127</v>
      </c>
      <c r="D38" s="4" t="s">
        <v>128</v>
      </c>
      <c r="E38" s="4" t="s">
        <v>123</v>
      </c>
      <c r="F38" s="4" t="s">
        <v>124</v>
      </c>
      <c r="G38" s="5">
        <v>1544</v>
      </c>
      <c r="H38" s="5">
        <v>246113.9896</v>
      </c>
      <c r="I38" s="6">
        <v>380000000</v>
      </c>
      <c r="J38" s="4" t="s">
        <v>129</v>
      </c>
      <c r="K38" s="4" t="s">
        <v>29</v>
      </c>
      <c r="L38" s="4" t="s">
        <v>19</v>
      </c>
    </row>
    <row r="39" spans="1:12" ht="78" thickBot="1" x14ac:dyDescent="0.3">
      <c r="A39" s="4" t="s">
        <v>130</v>
      </c>
      <c r="B39" s="4" t="s">
        <v>131</v>
      </c>
      <c r="C39" s="4" t="s">
        <v>132</v>
      </c>
      <c r="D39" s="4" t="s">
        <v>133</v>
      </c>
      <c r="E39" s="4" t="s">
        <v>134</v>
      </c>
      <c r="F39" s="4" t="s">
        <v>124</v>
      </c>
      <c r="G39" s="5">
        <v>700</v>
      </c>
      <c r="H39" s="5">
        <v>857142.85710000002</v>
      </c>
      <c r="I39" s="6">
        <v>600000000</v>
      </c>
      <c r="J39" s="4" t="s">
        <v>17</v>
      </c>
      <c r="K39" s="4" t="s">
        <v>18</v>
      </c>
      <c r="L39" s="4" t="s">
        <v>19</v>
      </c>
    </row>
    <row r="40" spans="1:12" ht="27" thickBot="1" x14ac:dyDescent="0.3">
      <c r="A40" s="4" t="s">
        <v>135</v>
      </c>
      <c r="B40" s="4" t="s">
        <v>136</v>
      </c>
      <c r="C40" s="4" t="s">
        <v>103</v>
      </c>
      <c r="D40" s="4" t="s">
        <v>137</v>
      </c>
      <c r="E40" s="4" t="s">
        <v>16</v>
      </c>
      <c r="F40" s="4" t="s">
        <v>16</v>
      </c>
      <c r="G40" s="5">
        <v>1263</v>
      </c>
      <c r="H40" s="5">
        <v>118764.8456</v>
      </c>
      <c r="I40" s="6">
        <v>150000000</v>
      </c>
      <c r="J40" s="4" t="s">
        <v>17</v>
      </c>
      <c r="K40" s="4" t="s">
        <v>18</v>
      </c>
      <c r="L40" s="4" t="s">
        <v>19</v>
      </c>
    </row>
    <row r="41" spans="1:12" ht="52.5" thickBot="1" x14ac:dyDescent="0.3">
      <c r="A41" s="4" t="s">
        <v>138</v>
      </c>
      <c r="B41" s="4" t="s">
        <v>139</v>
      </c>
      <c r="C41" s="4" t="s">
        <v>140</v>
      </c>
      <c r="D41" s="4" t="s">
        <v>140</v>
      </c>
      <c r="E41" s="4" t="s">
        <v>141</v>
      </c>
      <c r="F41" s="4" t="s">
        <v>76</v>
      </c>
      <c r="G41" s="4"/>
      <c r="H41" s="4"/>
      <c r="I41" s="6">
        <v>65000000</v>
      </c>
      <c r="J41" s="4" t="s">
        <v>23</v>
      </c>
      <c r="K41" s="4" t="s">
        <v>24</v>
      </c>
      <c r="L41" s="4" t="s">
        <v>25</v>
      </c>
    </row>
    <row r="42" spans="1:12" ht="27" thickBot="1" x14ac:dyDescent="0.3">
      <c r="A42" s="4" t="s">
        <v>142</v>
      </c>
      <c r="B42" s="4" t="s">
        <v>136</v>
      </c>
      <c r="C42" s="4" t="s">
        <v>103</v>
      </c>
      <c r="D42" s="4" t="s">
        <v>137</v>
      </c>
      <c r="E42" s="4" t="s">
        <v>16</v>
      </c>
      <c r="F42" s="4" t="s">
        <v>16</v>
      </c>
      <c r="G42" s="5">
        <v>1263</v>
      </c>
      <c r="H42" s="5">
        <v>118764.8456</v>
      </c>
      <c r="I42" s="6">
        <v>150000000</v>
      </c>
      <c r="J42" s="4" t="s">
        <v>17</v>
      </c>
      <c r="K42" s="4" t="s">
        <v>18</v>
      </c>
      <c r="L42" s="4" t="s">
        <v>19</v>
      </c>
    </row>
    <row r="43" spans="1:12" ht="90.75" thickBot="1" x14ac:dyDescent="0.3">
      <c r="A43" s="4" t="s">
        <v>143</v>
      </c>
      <c r="B43" s="4" t="s">
        <v>144</v>
      </c>
      <c r="C43" s="4" t="s">
        <v>140</v>
      </c>
      <c r="D43" s="4" t="s">
        <v>140</v>
      </c>
      <c r="E43" s="4" t="s">
        <v>145</v>
      </c>
      <c r="F43" s="4" t="s">
        <v>76</v>
      </c>
      <c r="G43" s="4"/>
      <c r="H43" s="4"/>
      <c r="I43" s="6">
        <v>65000000</v>
      </c>
      <c r="J43" s="4" t="s">
        <v>17</v>
      </c>
      <c r="K43" s="4" t="s">
        <v>18</v>
      </c>
      <c r="L43" s="4" t="s">
        <v>77</v>
      </c>
    </row>
    <row r="44" spans="1:12" ht="39.75" thickBot="1" x14ac:dyDescent="0.3">
      <c r="A44" s="4" t="s">
        <v>146</v>
      </c>
      <c r="B44" s="4" t="s">
        <v>147</v>
      </c>
      <c r="C44" s="4" t="s">
        <v>92</v>
      </c>
      <c r="D44" s="4" t="s">
        <v>93</v>
      </c>
      <c r="E44" s="4" t="s">
        <v>148</v>
      </c>
      <c r="F44" s="4" t="s">
        <v>76</v>
      </c>
      <c r="G44" s="4"/>
      <c r="H44" s="4"/>
      <c r="I44" s="6">
        <v>175000000</v>
      </c>
      <c r="J44" s="4" t="s">
        <v>17</v>
      </c>
      <c r="K44" s="4" t="s">
        <v>18</v>
      </c>
      <c r="L44" s="4" t="s">
        <v>77</v>
      </c>
    </row>
    <row r="45" spans="1:12" ht="65.25" thickBot="1" x14ac:dyDescent="0.3">
      <c r="A45" s="4" t="s">
        <v>149</v>
      </c>
      <c r="B45" s="4" t="s">
        <v>147</v>
      </c>
      <c r="C45" s="4" t="s">
        <v>92</v>
      </c>
      <c r="D45" s="4" t="s">
        <v>93</v>
      </c>
      <c r="E45" s="4" t="s">
        <v>150</v>
      </c>
      <c r="F45" s="4" t="s">
        <v>76</v>
      </c>
      <c r="G45" s="4"/>
      <c r="H45" s="4"/>
      <c r="I45" s="6">
        <v>110000000</v>
      </c>
      <c r="J45" s="4" t="s">
        <v>151</v>
      </c>
      <c r="K45" s="4" t="s">
        <v>29</v>
      </c>
      <c r="L45" s="4" t="s">
        <v>77</v>
      </c>
    </row>
    <row r="46" spans="1:12" ht="90.75" thickBot="1" x14ac:dyDescent="0.3">
      <c r="A46" s="4" t="s">
        <v>152</v>
      </c>
      <c r="B46" s="4" t="s">
        <v>153</v>
      </c>
      <c r="C46" s="4" t="s">
        <v>92</v>
      </c>
      <c r="D46" s="4" t="s">
        <v>93</v>
      </c>
      <c r="E46" s="4" t="s">
        <v>154</v>
      </c>
      <c r="F46" s="4" t="s">
        <v>76</v>
      </c>
      <c r="G46" s="4"/>
      <c r="H46" s="4"/>
      <c r="I46" s="6">
        <v>200000000</v>
      </c>
      <c r="J46" s="4" t="s">
        <v>17</v>
      </c>
      <c r="K46" s="4" t="s">
        <v>18</v>
      </c>
      <c r="L46" s="4" t="s">
        <v>77</v>
      </c>
    </row>
    <row r="47" spans="1:12" ht="52.5" thickBot="1" x14ac:dyDescent="0.3">
      <c r="A47" s="4" t="s">
        <v>155</v>
      </c>
      <c r="B47" s="4" t="s">
        <v>153</v>
      </c>
      <c r="C47" s="4" t="s">
        <v>92</v>
      </c>
      <c r="D47" s="4" t="s">
        <v>93</v>
      </c>
      <c r="E47" s="4" t="s">
        <v>156</v>
      </c>
      <c r="F47" s="4" t="s">
        <v>76</v>
      </c>
      <c r="G47" s="4"/>
      <c r="H47" s="4"/>
      <c r="I47" s="6">
        <v>190000000</v>
      </c>
      <c r="J47" s="4" t="s">
        <v>17</v>
      </c>
      <c r="K47" s="4" t="s">
        <v>18</v>
      </c>
      <c r="L47" s="4" t="s">
        <v>77</v>
      </c>
    </row>
    <row r="48" spans="1:12" ht="78" thickBot="1" x14ac:dyDescent="0.3">
      <c r="A48" s="4" t="s">
        <v>157</v>
      </c>
      <c r="B48" s="4" t="s">
        <v>158</v>
      </c>
      <c r="C48" s="4" t="s">
        <v>92</v>
      </c>
      <c r="D48" s="4" t="s">
        <v>93</v>
      </c>
      <c r="E48" s="4" t="s">
        <v>159</v>
      </c>
      <c r="F48" s="4" t="s">
        <v>76</v>
      </c>
      <c r="G48" s="4"/>
      <c r="H48" s="4"/>
      <c r="I48" s="6">
        <v>180000000</v>
      </c>
      <c r="J48" s="4" t="s">
        <v>23</v>
      </c>
      <c r="K48" s="4" t="s">
        <v>24</v>
      </c>
      <c r="L48" s="4" t="s">
        <v>77</v>
      </c>
    </row>
    <row r="49" spans="1:12" ht="90.75" thickBot="1" x14ac:dyDescent="0.3">
      <c r="A49" s="4" t="s">
        <v>160</v>
      </c>
      <c r="B49" s="4" t="s">
        <v>158</v>
      </c>
      <c r="C49" s="4" t="s">
        <v>92</v>
      </c>
      <c r="D49" s="4" t="s">
        <v>93</v>
      </c>
      <c r="E49" s="4" t="s">
        <v>161</v>
      </c>
      <c r="F49" s="4" t="s">
        <v>76</v>
      </c>
      <c r="G49" s="4"/>
      <c r="H49" s="4"/>
      <c r="I49" s="6">
        <v>330000000</v>
      </c>
      <c r="J49" s="4" t="s">
        <v>23</v>
      </c>
      <c r="K49" s="4" t="s">
        <v>24</v>
      </c>
      <c r="L49" s="4" t="s">
        <v>77</v>
      </c>
    </row>
    <row r="50" spans="1:12" ht="78" thickBot="1" x14ac:dyDescent="0.3">
      <c r="A50" s="4" t="s">
        <v>162</v>
      </c>
      <c r="B50" s="4" t="s">
        <v>147</v>
      </c>
      <c r="C50" s="4" t="s">
        <v>92</v>
      </c>
      <c r="D50" s="4" t="s">
        <v>93</v>
      </c>
      <c r="E50" s="4" t="s">
        <v>16</v>
      </c>
      <c r="F50" s="4" t="s">
        <v>16</v>
      </c>
      <c r="G50" s="5">
        <v>648</v>
      </c>
      <c r="H50" s="5">
        <v>200617.28400000001</v>
      </c>
      <c r="I50" s="6">
        <v>130000000</v>
      </c>
      <c r="J50" s="4" t="s">
        <v>163</v>
      </c>
      <c r="K50" s="4" t="s">
        <v>29</v>
      </c>
      <c r="L50" s="4" t="s">
        <v>19</v>
      </c>
    </row>
    <row r="51" spans="1:12" ht="65.25" thickBot="1" x14ac:dyDescent="0.3">
      <c r="A51" s="4" t="s">
        <v>164</v>
      </c>
      <c r="B51" s="4" t="s">
        <v>59</v>
      </c>
      <c r="C51" s="4" t="s">
        <v>92</v>
      </c>
      <c r="D51" s="4" t="s">
        <v>93</v>
      </c>
      <c r="E51" s="4" t="s">
        <v>16</v>
      </c>
      <c r="F51" s="4" t="s">
        <v>16</v>
      </c>
      <c r="G51" s="5">
        <v>521</v>
      </c>
      <c r="H51" s="5">
        <v>143953.93470000001</v>
      </c>
      <c r="I51" s="6">
        <v>75000000</v>
      </c>
      <c r="J51" s="4" t="s">
        <v>129</v>
      </c>
      <c r="K51" s="4" t="s">
        <v>29</v>
      </c>
      <c r="L51" s="4" t="s">
        <v>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F1651-7FF7-4282-A51D-A852ABD96296}">
  <dimension ref="B2:S53"/>
  <sheetViews>
    <sheetView topLeftCell="M1" workbookViewId="0">
      <selection activeCell="N8" sqref="N8"/>
    </sheetView>
  </sheetViews>
  <sheetFormatPr defaultRowHeight="15" x14ac:dyDescent="0.25"/>
  <cols>
    <col min="2" max="2" width="13.140625" bestFit="1" customWidth="1"/>
    <col min="3" max="3" width="14.28515625" bestFit="1" customWidth="1"/>
    <col min="5" max="5" width="21.140625" bestFit="1" customWidth="1"/>
    <col min="7" max="7" width="11.28515625" bestFit="1" customWidth="1"/>
    <col min="8" max="8" width="20.5703125" bestFit="1" customWidth="1"/>
    <col min="10" max="10" width="20.7109375" bestFit="1" customWidth="1"/>
    <col min="11" max="11" width="20.5703125" bestFit="1" customWidth="1"/>
    <col min="13" max="13" width="11.28515625" bestFit="1" customWidth="1"/>
    <col min="14" max="14" width="15.5703125" bestFit="1" customWidth="1"/>
    <col min="16" max="16" width="20.5703125" bestFit="1" customWidth="1"/>
    <col min="17" max="17" width="16.5703125" bestFit="1" customWidth="1"/>
    <col min="18" max="18" width="4.5703125" bestFit="1" customWidth="1"/>
    <col min="19" max="19" width="8.5703125" bestFit="1" customWidth="1"/>
    <col min="20" max="20" width="11.28515625" bestFit="1" customWidth="1"/>
  </cols>
  <sheetData>
    <row r="2" spans="2:19" x14ac:dyDescent="0.25">
      <c r="B2" s="14" t="s">
        <v>0</v>
      </c>
      <c r="C2" t="s">
        <v>171</v>
      </c>
      <c r="E2" t="s">
        <v>167</v>
      </c>
      <c r="G2" s="14" t="s">
        <v>2</v>
      </c>
      <c r="H2" t="s">
        <v>170</v>
      </c>
      <c r="J2" s="14" t="s">
        <v>11</v>
      </c>
      <c r="K2" t="s">
        <v>170</v>
      </c>
      <c r="M2" s="14" t="s">
        <v>2</v>
      </c>
      <c r="N2" t="s">
        <v>166</v>
      </c>
      <c r="P2" s="14" t="s">
        <v>172</v>
      </c>
      <c r="Q2" s="14" t="s">
        <v>173</v>
      </c>
    </row>
    <row r="3" spans="2:19" x14ac:dyDescent="0.25">
      <c r="B3" s="15" t="s">
        <v>12</v>
      </c>
      <c r="C3" s="16">
        <v>1</v>
      </c>
      <c r="E3" s="17">
        <v>4708300000</v>
      </c>
      <c r="G3" s="15" t="s">
        <v>92</v>
      </c>
      <c r="H3" s="16">
        <v>12</v>
      </c>
      <c r="J3" s="15" t="s">
        <v>25</v>
      </c>
      <c r="K3" s="16">
        <v>17</v>
      </c>
      <c r="M3" s="15" t="s">
        <v>132</v>
      </c>
      <c r="N3" s="17">
        <v>600000000</v>
      </c>
      <c r="P3" s="14" t="s">
        <v>2</v>
      </c>
      <c r="Q3" t="s">
        <v>24</v>
      </c>
      <c r="R3" t="s">
        <v>18</v>
      </c>
      <c r="S3" t="s">
        <v>29</v>
      </c>
    </row>
    <row r="4" spans="2:19" x14ac:dyDescent="0.25">
      <c r="B4" s="15" t="s">
        <v>20</v>
      </c>
      <c r="C4" s="16">
        <v>1</v>
      </c>
      <c r="G4" s="15" t="s">
        <v>14</v>
      </c>
      <c r="H4" s="16">
        <v>9</v>
      </c>
      <c r="J4" s="15" t="s">
        <v>77</v>
      </c>
      <c r="K4" s="16">
        <v>15</v>
      </c>
      <c r="M4" s="15" t="s">
        <v>127</v>
      </c>
      <c r="N4" s="17">
        <v>380000000</v>
      </c>
      <c r="P4" s="15" t="s">
        <v>103</v>
      </c>
      <c r="Q4" s="16"/>
      <c r="R4" s="16">
        <v>6</v>
      </c>
      <c r="S4" s="16"/>
    </row>
    <row r="5" spans="2:19" x14ac:dyDescent="0.25">
      <c r="B5" s="15" t="s">
        <v>26</v>
      </c>
      <c r="C5" s="16">
        <v>1</v>
      </c>
      <c r="E5" t="s">
        <v>168</v>
      </c>
      <c r="G5" s="15" t="s">
        <v>103</v>
      </c>
      <c r="H5" s="16">
        <v>6</v>
      </c>
      <c r="J5" s="15" t="s">
        <v>19</v>
      </c>
      <c r="K5" s="16">
        <v>18</v>
      </c>
      <c r="M5" s="15" t="s">
        <v>92</v>
      </c>
      <c r="N5" s="17">
        <v>178333333.33333334</v>
      </c>
      <c r="P5" s="15" t="s">
        <v>14</v>
      </c>
      <c r="Q5" s="16">
        <v>2</v>
      </c>
      <c r="R5" s="16">
        <v>6</v>
      </c>
      <c r="S5" s="16">
        <v>1</v>
      </c>
    </row>
    <row r="6" spans="2:19" x14ac:dyDescent="0.25">
      <c r="B6" s="15" t="s">
        <v>30</v>
      </c>
      <c r="C6" s="16">
        <v>1</v>
      </c>
      <c r="E6" s="17">
        <v>94166000</v>
      </c>
      <c r="G6" s="15" t="s">
        <v>57</v>
      </c>
      <c r="H6" s="16">
        <v>4</v>
      </c>
      <c r="J6" s="15" t="s">
        <v>165</v>
      </c>
      <c r="K6" s="16">
        <v>50</v>
      </c>
      <c r="M6" s="15" t="s">
        <v>41</v>
      </c>
      <c r="N6" s="17">
        <v>161000000</v>
      </c>
      <c r="P6" s="15" t="s">
        <v>92</v>
      </c>
      <c r="Q6" s="16">
        <v>3</v>
      </c>
      <c r="R6" s="16">
        <v>5</v>
      </c>
      <c r="S6" s="16">
        <v>4</v>
      </c>
    </row>
    <row r="7" spans="2:19" x14ac:dyDescent="0.25">
      <c r="B7" s="15" t="s">
        <v>32</v>
      </c>
      <c r="C7" s="16">
        <v>1</v>
      </c>
      <c r="G7" s="15" t="s">
        <v>41</v>
      </c>
      <c r="H7" s="16">
        <v>3</v>
      </c>
      <c r="M7" s="15" t="s">
        <v>103</v>
      </c>
      <c r="N7" s="17">
        <v>67000000</v>
      </c>
      <c r="P7" s="15" t="s">
        <v>66</v>
      </c>
      <c r="Q7" s="16"/>
      <c r="R7" s="16">
        <v>2</v>
      </c>
      <c r="S7" s="16"/>
    </row>
    <row r="8" spans="2:19" x14ac:dyDescent="0.25">
      <c r="B8" s="15" t="s">
        <v>33</v>
      </c>
      <c r="C8" s="16">
        <v>1</v>
      </c>
      <c r="E8" t="s">
        <v>169</v>
      </c>
      <c r="G8" s="15" t="s">
        <v>70</v>
      </c>
      <c r="H8" s="16">
        <v>2</v>
      </c>
      <c r="J8" s="14" t="s">
        <v>10</v>
      </c>
      <c r="K8" t="s">
        <v>170</v>
      </c>
      <c r="M8" s="15" t="s">
        <v>140</v>
      </c>
      <c r="N8" s="17">
        <v>65000000</v>
      </c>
      <c r="P8" s="15" t="s">
        <v>70</v>
      </c>
      <c r="Q8" s="16"/>
      <c r="R8" s="16">
        <v>2</v>
      </c>
      <c r="S8" s="16"/>
    </row>
    <row r="9" spans="2:19" x14ac:dyDescent="0.25">
      <c r="B9" s="15" t="s">
        <v>37</v>
      </c>
      <c r="C9" s="16">
        <v>1</v>
      </c>
      <c r="E9" s="17">
        <v>88613.443361058831</v>
      </c>
      <c r="G9" s="15" t="s">
        <v>66</v>
      </c>
      <c r="H9" s="16">
        <v>2</v>
      </c>
      <c r="J9" s="15" t="s">
        <v>24</v>
      </c>
      <c r="K9" s="16">
        <v>11</v>
      </c>
      <c r="M9" s="15" t="s">
        <v>107</v>
      </c>
      <c r="N9" s="17">
        <v>50000000</v>
      </c>
      <c r="P9" s="15" t="s">
        <v>57</v>
      </c>
      <c r="Q9" s="16"/>
      <c r="R9" s="16">
        <v>2</v>
      </c>
      <c r="S9" s="16">
        <v>2</v>
      </c>
    </row>
    <row r="10" spans="2:19" x14ac:dyDescent="0.25">
      <c r="B10" s="15" t="s">
        <v>39</v>
      </c>
      <c r="C10" s="16">
        <v>1</v>
      </c>
      <c r="G10" s="15" t="s">
        <v>35</v>
      </c>
      <c r="H10" s="16">
        <v>2</v>
      </c>
      <c r="J10" s="15" t="s">
        <v>18</v>
      </c>
      <c r="K10" s="16">
        <v>29</v>
      </c>
      <c r="M10" s="15" t="s">
        <v>57</v>
      </c>
      <c r="N10" s="17">
        <v>49125000</v>
      </c>
      <c r="P10" s="15" t="s">
        <v>88</v>
      </c>
      <c r="Q10" s="16"/>
      <c r="R10" s="16">
        <v>1</v>
      </c>
      <c r="S10" s="16"/>
    </row>
    <row r="11" spans="2:19" x14ac:dyDescent="0.25">
      <c r="B11" s="15" t="s">
        <v>42</v>
      </c>
      <c r="C11" s="16">
        <v>1</v>
      </c>
      <c r="G11" s="15" t="s">
        <v>51</v>
      </c>
      <c r="H11" s="16">
        <v>2</v>
      </c>
      <c r="J11" s="15" t="s">
        <v>29</v>
      </c>
      <c r="K11" s="16">
        <v>10</v>
      </c>
      <c r="M11" s="15" t="s">
        <v>14</v>
      </c>
      <c r="N11" s="17">
        <v>25077777.777777776</v>
      </c>
      <c r="P11" s="15" t="s">
        <v>140</v>
      </c>
      <c r="Q11" s="16">
        <v>1</v>
      </c>
      <c r="R11" s="16">
        <v>1</v>
      </c>
      <c r="S11" s="16"/>
    </row>
    <row r="12" spans="2:19" x14ac:dyDescent="0.25">
      <c r="B12" s="15" t="s">
        <v>44</v>
      </c>
      <c r="C12" s="16">
        <v>1</v>
      </c>
      <c r="G12" s="15" t="s">
        <v>140</v>
      </c>
      <c r="H12" s="16">
        <v>2</v>
      </c>
      <c r="J12" s="15" t="s">
        <v>165</v>
      </c>
      <c r="K12" s="16">
        <v>50</v>
      </c>
      <c r="M12" s="15" t="s">
        <v>46</v>
      </c>
      <c r="N12" s="17">
        <v>18000000</v>
      </c>
      <c r="P12" s="15" t="s">
        <v>46</v>
      </c>
      <c r="Q12" s="16"/>
      <c r="R12" s="16">
        <v>1</v>
      </c>
      <c r="S12" s="16"/>
    </row>
    <row r="13" spans="2:19" x14ac:dyDescent="0.25">
      <c r="B13" s="15" t="s">
        <v>49</v>
      </c>
      <c r="C13" s="16">
        <v>1</v>
      </c>
      <c r="G13" s="15" t="s">
        <v>46</v>
      </c>
      <c r="H13" s="16">
        <v>1</v>
      </c>
      <c r="M13" s="15" t="s">
        <v>66</v>
      </c>
      <c r="N13" s="17">
        <v>16750000</v>
      </c>
      <c r="P13" s="15" t="s">
        <v>51</v>
      </c>
      <c r="Q13" s="16">
        <v>1</v>
      </c>
      <c r="R13" s="16">
        <v>1</v>
      </c>
      <c r="S13" s="16"/>
    </row>
    <row r="14" spans="2:19" x14ac:dyDescent="0.25">
      <c r="B14" s="15" t="s">
        <v>53</v>
      </c>
      <c r="C14" s="16">
        <v>1</v>
      </c>
      <c r="G14" s="15" t="s">
        <v>127</v>
      </c>
      <c r="H14" s="16">
        <v>1</v>
      </c>
      <c r="J14" s="14" t="s">
        <v>5</v>
      </c>
      <c r="K14" t="s">
        <v>170</v>
      </c>
      <c r="M14" s="15" t="s">
        <v>35</v>
      </c>
      <c r="N14" s="17">
        <v>10000000</v>
      </c>
      <c r="P14" s="15" t="s">
        <v>41</v>
      </c>
      <c r="Q14" s="16">
        <v>2</v>
      </c>
      <c r="R14" s="16">
        <v>1</v>
      </c>
      <c r="S14" s="16"/>
    </row>
    <row r="15" spans="2:19" x14ac:dyDescent="0.25">
      <c r="B15" s="15" t="s">
        <v>55</v>
      </c>
      <c r="C15" s="16">
        <v>1</v>
      </c>
      <c r="G15" s="15" t="s">
        <v>107</v>
      </c>
      <c r="H15" s="16">
        <v>1</v>
      </c>
      <c r="J15" s="15" t="s">
        <v>124</v>
      </c>
      <c r="K15" s="16">
        <v>3</v>
      </c>
      <c r="M15" s="15" t="s">
        <v>51</v>
      </c>
      <c r="N15" s="17">
        <v>5300000</v>
      </c>
      <c r="P15" s="15" t="s">
        <v>132</v>
      </c>
      <c r="Q15" s="16"/>
      <c r="R15" s="16">
        <v>1</v>
      </c>
      <c r="S15" s="16"/>
    </row>
    <row r="16" spans="2:19" x14ac:dyDescent="0.25">
      <c r="B16" s="15" t="s">
        <v>58</v>
      </c>
      <c r="C16" s="16">
        <v>1</v>
      </c>
      <c r="G16" s="15" t="s">
        <v>22</v>
      </c>
      <c r="H16" s="16">
        <v>1</v>
      </c>
      <c r="J16" s="15" t="s">
        <v>16</v>
      </c>
      <c r="K16" s="16">
        <v>28</v>
      </c>
      <c r="M16" s="15" t="s">
        <v>70</v>
      </c>
      <c r="N16" s="17">
        <v>5250000</v>
      </c>
      <c r="P16" s="15" t="s">
        <v>22</v>
      </c>
      <c r="Q16" s="16">
        <v>1</v>
      </c>
      <c r="R16" s="16"/>
      <c r="S16" s="16"/>
    </row>
    <row r="17" spans="2:19" x14ac:dyDescent="0.25">
      <c r="B17" s="15" t="s">
        <v>60</v>
      </c>
      <c r="C17" s="16">
        <v>1</v>
      </c>
      <c r="G17" s="15" t="s">
        <v>88</v>
      </c>
      <c r="H17" s="16">
        <v>1</v>
      </c>
      <c r="J17" s="15" t="s">
        <v>76</v>
      </c>
      <c r="K17" s="16">
        <v>19</v>
      </c>
      <c r="M17" s="15" t="s">
        <v>88</v>
      </c>
      <c r="N17" s="17">
        <v>4750000</v>
      </c>
      <c r="P17" s="15" t="s">
        <v>35</v>
      </c>
      <c r="Q17" s="16">
        <v>1</v>
      </c>
      <c r="R17" s="16"/>
      <c r="S17" s="16">
        <v>1</v>
      </c>
    </row>
    <row r="18" spans="2:19" x14ac:dyDescent="0.25">
      <c r="B18" s="15" t="s">
        <v>61</v>
      </c>
      <c r="C18" s="16">
        <v>1</v>
      </c>
      <c r="G18" s="15" t="s">
        <v>132</v>
      </c>
      <c r="H18" s="16">
        <v>1</v>
      </c>
      <c r="J18" s="15" t="s">
        <v>165</v>
      </c>
      <c r="K18" s="16">
        <v>50</v>
      </c>
      <c r="M18" s="15" t="s">
        <v>22</v>
      </c>
      <c r="N18" s="17">
        <v>3750000</v>
      </c>
      <c r="P18" s="15" t="s">
        <v>107</v>
      </c>
      <c r="Q18" s="16"/>
      <c r="R18" s="16"/>
      <c r="S18" s="16">
        <v>1</v>
      </c>
    </row>
    <row r="19" spans="2:19" x14ac:dyDescent="0.25">
      <c r="B19" s="15" t="s">
        <v>64</v>
      </c>
      <c r="C19" s="16">
        <v>1</v>
      </c>
      <c r="G19" s="15" t="s">
        <v>165</v>
      </c>
      <c r="H19" s="16">
        <v>50</v>
      </c>
      <c r="M19" s="15" t="s">
        <v>165</v>
      </c>
      <c r="N19" s="17">
        <v>94166000</v>
      </c>
      <c r="P19" s="15" t="s">
        <v>127</v>
      </c>
      <c r="Q19" s="16"/>
      <c r="R19" s="16"/>
      <c r="S19" s="16">
        <v>1</v>
      </c>
    </row>
    <row r="20" spans="2:19" x14ac:dyDescent="0.25">
      <c r="B20" s="15" t="s">
        <v>67</v>
      </c>
      <c r="C20" s="16">
        <v>1</v>
      </c>
    </row>
    <row r="21" spans="2:19" x14ac:dyDescent="0.25">
      <c r="B21" s="15" t="s">
        <v>68</v>
      </c>
      <c r="C21" s="16">
        <v>1</v>
      </c>
    </row>
    <row r="22" spans="2:19" x14ac:dyDescent="0.25">
      <c r="B22" s="15" t="s">
        <v>71</v>
      </c>
      <c r="C22" s="16">
        <v>1</v>
      </c>
    </row>
    <row r="23" spans="2:19" x14ac:dyDescent="0.25">
      <c r="B23" s="15" t="s">
        <v>73</v>
      </c>
      <c r="C23" s="16">
        <v>1</v>
      </c>
    </row>
    <row r="24" spans="2:19" x14ac:dyDescent="0.25">
      <c r="B24" s="15" t="s">
        <v>78</v>
      </c>
      <c r="C24" s="16">
        <v>1</v>
      </c>
    </row>
    <row r="25" spans="2:19" x14ac:dyDescent="0.25">
      <c r="B25" s="15" t="s">
        <v>81</v>
      </c>
      <c r="C25" s="16">
        <v>1</v>
      </c>
    </row>
    <row r="26" spans="2:19" x14ac:dyDescent="0.25">
      <c r="B26" s="15" t="s">
        <v>86</v>
      </c>
      <c r="C26" s="16">
        <v>1</v>
      </c>
    </row>
    <row r="27" spans="2:19" x14ac:dyDescent="0.25">
      <c r="B27" s="15" t="s">
        <v>90</v>
      </c>
      <c r="C27" s="16">
        <v>1</v>
      </c>
    </row>
    <row r="28" spans="2:19" x14ac:dyDescent="0.25">
      <c r="B28" s="15" t="s">
        <v>95</v>
      </c>
      <c r="C28" s="16">
        <v>1</v>
      </c>
    </row>
    <row r="29" spans="2:19" x14ac:dyDescent="0.25">
      <c r="B29" s="15" t="s">
        <v>98</v>
      </c>
      <c r="C29" s="16">
        <v>1</v>
      </c>
    </row>
    <row r="30" spans="2:19" x14ac:dyDescent="0.25">
      <c r="B30" s="15" t="s">
        <v>101</v>
      </c>
      <c r="C30" s="16">
        <v>1</v>
      </c>
    </row>
    <row r="31" spans="2:19" x14ac:dyDescent="0.25">
      <c r="B31" s="15" t="s">
        <v>105</v>
      </c>
      <c r="C31" s="16">
        <v>1</v>
      </c>
    </row>
    <row r="32" spans="2:19" x14ac:dyDescent="0.25">
      <c r="B32" s="15" t="s">
        <v>110</v>
      </c>
      <c r="C32" s="16">
        <v>1</v>
      </c>
    </row>
    <row r="33" spans="2:3" x14ac:dyDescent="0.25">
      <c r="B33" s="15" t="s">
        <v>111</v>
      </c>
      <c r="C33" s="16">
        <v>1</v>
      </c>
    </row>
    <row r="34" spans="2:3" x14ac:dyDescent="0.25">
      <c r="B34" s="15" t="s">
        <v>112</v>
      </c>
      <c r="C34" s="16">
        <v>1</v>
      </c>
    </row>
    <row r="35" spans="2:3" x14ac:dyDescent="0.25">
      <c r="B35" s="15" t="s">
        <v>113</v>
      </c>
      <c r="C35" s="16">
        <v>1</v>
      </c>
    </row>
    <row r="36" spans="2:3" x14ac:dyDescent="0.25">
      <c r="B36" s="15" t="s">
        <v>114</v>
      </c>
      <c r="C36" s="16">
        <v>1</v>
      </c>
    </row>
    <row r="37" spans="2:3" x14ac:dyDescent="0.25">
      <c r="B37" s="15" t="s">
        <v>117</v>
      </c>
      <c r="C37" s="16">
        <v>1</v>
      </c>
    </row>
    <row r="38" spans="2:3" x14ac:dyDescent="0.25">
      <c r="B38" s="15" t="s">
        <v>121</v>
      </c>
      <c r="C38" s="16">
        <v>1</v>
      </c>
    </row>
    <row r="39" spans="2:3" x14ac:dyDescent="0.25">
      <c r="B39" s="15" t="s">
        <v>125</v>
      </c>
      <c r="C39" s="16">
        <v>1</v>
      </c>
    </row>
    <row r="40" spans="2:3" x14ac:dyDescent="0.25">
      <c r="B40" s="15" t="s">
        <v>130</v>
      </c>
      <c r="C40" s="16">
        <v>1</v>
      </c>
    </row>
    <row r="41" spans="2:3" x14ac:dyDescent="0.25">
      <c r="B41" s="15" t="s">
        <v>135</v>
      </c>
      <c r="C41" s="16">
        <v>1</v>
      </c>
    </row>
    <row r="42" spans="2:3" x14ac:dyDescent="0.25">
      <c r="B42" s="15" t="s">
        <v>138</v>
      </c>
      <c r="C42" s="16">
        <v>1</v>
      </c>
    </row>
    <row r="43" spans="2:3" x14ac:dyDescent="0.25">
      <c r="B43" s="15" t="s">
        <v>142</v>
      </c>
      <c r="C43" s="16">
        <v>1</v>
      </c>
    </row>
    <row r="44" spans="2:3" x14ac:dyDescent="0.25">
      <c r="B44" s="15" t="s">
        <v>143</v>
      </c>
      <c r="C44" s="16">
        <v>1</v>
      </c>
    </row>
    <row r="45" spans="2:3" x14ac:dyDescent="0.25">
      <c r="B45" s="15" t="s">
        <v>146</v>
      </c>
      <c r="C45" s="16">
        <v>1</v>
      </c>
    </row>
    <row r="46" spans="2:3" x14ac:dyDescent="0.25">
      <c r="B46" s="15" t="s">
        <v>149</v>
      </c>
      <c r="C46" s="16">
        <v>1</v>
      </c>
    </row>
    <row r="47" spans="2:3" x14ac:dyDescent="0.25">
      <c r="B47" s="15" t="s">
        <v>152</v>
      </c>
      <c r="C47" s="16">
        <v>1</v>
      </c>
    </row>
    <row r="48" spans="2:3" x14ac:dyDescent="0.25">
      <c r="B48" s="15" t="s">
        <v>155</v>
      </c>
      <c r="C48" s="16">
        <v>1</v>
      </c>
    </row>
    <row r="49" spans="2:3" x14ac:dyDescent="0.25">
      <c r="B49" s="15" t="s">
        <v>157</v>
      </c>
      <c r="C49" s="16">
        <v>1</v>
      </c>
    </row>
    <row r="50" spans="2:3" x14ac:dyDescent="0.25">
      <c r="B50" s="15" t="s">
        <v>160</v>
      </c>
      <c r="C50" s="16">
        <v>1</v>
      </c>
    </row>
    <row r="51" spans="2:3" x14ac:dyDescent="0.25">
      <c r="B51" s="15" t="s">
        <v>162</v>
      </c>
      <c r="C51" s="16">
        <v>1</v>
      </c>
    </row>
    <row r="52" spans="2:3" x14ac:dyDescent="0.25">
      <c r="B52" s="15" t="s">
        <v>164</v>
      </c>
      <c r="C52" s="16">
        <v>1</v>
      </c>
    </row>
    <row r="53" spans="2:3" x14ac:dyDescent="0.25">
      <c r="B53" s="15" t="s">
        <v>165</v>
      </c>
      <c r="C53" s="16">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E0C0C-E607-4310-AAAC-163F1DEBBEA2}">
  <dimension ref="B1:H5"/>
  <sheetViews>
    <sheetView showGridLines="0" tabSelected="1" workbookViewId="0">
      <selection activeCell="A7" sqref="A7"/>
    </sheetView>
  </sheetViews>
  <sheetFormatPr defaultRowHeight="15" x14ac:dyDescent="0.25"/>
  <cols>
    <col min="2" max="2" width="15" customWidth="1"/>
    <col min="3" max="3" width="31.28515625" customWidth="1"/>
    <col min="4" max="4" width="23.85546875" bestFit="1" customWidth="1"/>
    <col min="5" max="5" width="18.28515625" bestFit="1" customWidth="1"/>
    <col min="6" max="6" width="16.42578125" bestFit="1" customWidth="1"/>
    <col min="7" max="7" width="18" bestFit="1" customWidth="1"/>
    <col min="8" max="8" width="15.7109375" customWidth="1"/>
  </cols>
  <sheetData>
    <row r="1" spans="2:8" ht="26.25" x14ac:dyDescent="0.4">
      <c r="B1" s="21" t="s">
        <v>174</v>
      </c>
      <c r="C1" s="21"/>
      <c r="D1" s="21"/>
      <c r="E1" s="21"/>
      <c r="F1" s="22"/>
      <c r="G1" s="23"/>
    </row>
    <row r="2" spans="2:8" ht="21" x14ac:dyDescent="0.35">
      <c r="B2" s="24"/>
      <c r="C2" s="24" t="s">
        <v>175</v>
      </c>
      <c r="D2" s="24"/>
      <c r="E2" s="24"/>
      <c r="F2" s="24"/>
      <c r="G2" s="25"/>
      <c r="H2" s="18"/>
    </row>
    <row r="3" spans="2:8" x14ac:dyDescent="0.25">
      <c r="B3" s="23"/>
      <c r="C3" s="23"/>
      <c r="D3" s="23"/>
      <c r="E3" s="23"/>
      <c r="F3" s="23"/>
      <c r="G3" s="23"/>
    </row>
    <row r="4" spans="2:8" x14ac:dyDescent="0.25">
      <c r="B4" s="26" t="s">
        <v>176</v>
      </c>
      <c r="C4" s="26" t="s">
        <v>167</v>
      </c>
      <c r="D4" s="26" t="s">
        <v>168</v>
      </c>
      <c r="E4" s="26" t="s">
        <v>177</v>
      </c>
      <c r="F4" s="26" t="s">
        <v>178</v>
      </c>
      <c r="G4" s="26" t="s">
        <v>179</v>
      </c>
    </row>
    <row r="5" spans="2:8" ht="28.5" x14ac:dyDescent="0.45">
      <c r="B5" s="19">
        <f>GETPIVOTDATA("Property_ID",Pivot_Table!$B$2)</f>
        <v>50</v>
      </c>
      <c r="C5" s="20">
        <f>GETPIVOTDATA("Price",Pivot_Table!$E$2)</f>
        <v>4708300000</v>
      </c>
      <c r="D5" s="20">
        <f>GETPIVOTDATA("Price",Pivot_Table!$E$5)</f>
        <v>94166000</v>
      </c>
      <c r="E5" s="20">
        <f>GETPIVOTDATA("Price_Per_Sqm_Naira",Pivot_Table!$E$8)</f>
        <v>88613.443361058831</v>
      </c>
      <c r="F5" s="19">
        <f>GETPIVOTDATA("Property_ID",Pivot_Table!$J$2,"MARKET_SEGMENT","PREMIUM")</f>
        <v>18</v>
      </c>
      <c r="G5" s="19">
        <f>GETPIVOTDATA("Property_ID",Pivot_Table!$J$2,"MARKET_SEGMENT","AFFORDABLE")</f>
        <v>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2026-07-16T06:58:45Z</dcterms:created>
  <dcterms:modified xsi:type="dcterms:W3CDTF">2026-07-17T09:53:50Z</dcterms:modified>
</cp:coreProperties>
</file>